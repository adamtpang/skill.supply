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6bb08f597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a58a1df2fc604a7c"/>
    <x:sheet xmlns:r="http://schemas.openxmlformats.org/officeDocument/2006/relationships" name="Sources" sheetId="2" r:id="R7927c0b71c5d4873"/>
  </x:sheets>
</x:workbook>
</file>

<file path=xl/sharedStrings.xml><?xml version="1.0" encoding="utf-8"?>
<x:sst xmlns:x="http://schemas.openxmlformats.org/spreadsheetml/2006/main">
  <x:si>
    <x:t xml:space="preserve">As-of Date</x:t>
  </x:si>
  <x:si>
    <x:t xml:space="preserve">Forecast Horizon</x:t>
  </x:si>
  <x:si>
    <x:t xml:space="preserve">WIN RATE</x:t>
  </x:si>
  <x:si>
    <x:t xml:space="preserve">AVG. SALES CYCLE</x:t>
  </x:si>
  <x:si>
    <x:t xml:space="preserve">OPEN DEALS</x:t>
  </x:si>
  <x:si>
    <x:t xml:space="preserve">STALE OPEN DEALS</x:t>
  </x:si>
  <x:si>
    <x:t xml:space="preserve">Stage</x:t>
  </x:si>
  <x:si>
    <x:t xml:space="preserve">Probability</x:t>
  </x:si>
  <x:si>
    <x:t xml:space="preserve">Discovery</x:t>
  </x:si>
  <x:si>
    <x:t xml:space="preserve">Qualification</x:t>
  </x:si>
  <x:si>
    <x:t xml:space="preserve">Solution Fit</x:t>
  </x:si>
  <x:si>
    <x:t xml:space="preserve">Technical Validation</x:t>
  </x:si>
  <x:si>
    <x:t xml:space="preserve">Company</x:t>
  </x:si>
  <x:si>
    <x:t xml:space="preserve">Account Executive</x:t>
  </x:si>
  <x:si>
    <x:t xml:space="preserve">Stale Flag</x:t>
  </x:si>
  <x:si>
    <x:t xml:space="preserve">Risk Status</x:t>
  </x:si>
  <x:si>
    <x:t xml:space="preserve">Proposal</x:t>
  </x:si>
  <x:si>
    <x:t xml:space="preserve">Negotiation</x:t>
  </x:si>
  <x:si>
    <x:t xml:space="preserve">Closed Won</x:t>
  </x:si>
  <x:si>
    <x:t xml:space="preserve">Closed Lost</x:t>
  </x:si>
  <x:si>
    <x:t xml:space="preserve">Capacity Status</x:t>
  </x:si>
  <x:si>
    <x:t xml:space="preserve">Used Deal Rows</x:t>
  </x:si>
  <x:si>
    <x:t xml:space="preserve">Remaining Capacity</x:t>
  </x:si>
  <x:si>
    <x:t xml:space="preserve">Capacity Contract</x:t>
  </x:si>
</x:sst>
</file>

<file path=xl/styles.xml><?xml version="1.0" encoding="utf-8"?>
<x:styleSheet xmlns:x="http://schemas.openxmlformats.org/spreadsheetml/2006/main">
  <x:numFmts count="10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yyyy-mm-dd"/>
    <x:numFmt numFmtId="201" formatCode="0 &quot;days&quot;"/>
    <x:numFmt numFmtId="202" formatCode="&quot;$&quot;#,##0"/>
    <x:numFmt numFmtId="203" formatCode="0%"/>
  </x:numFmts>
  <x:fonts count="15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b/>
      <x:sz val="16"/>
      <x:color rgb="FFFFFFFF"/>
      <x:name val="Aptos Narrow"/>
    </x:font>
    <x:font>
      <x:b/>
      <x:sz val="11"/>
      <x:color rgb="FFFFFFFF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4A3A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left style="thin">
        <x:color rgb="FFD7E1DD"/>
      </x:left>
      <x:right style="thin">
        <x:color rgb="FFD7E1DD"/>
      </x:right>
      <x:top style="thin">
        <x:color rgb="FFD7E1DD"/>
      </x:top>
      <x:bottom style="thin">
        <x:color rgb="FFD7E1DD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200" fontId="12" fillId="5" borderId="12" xfId="0" applyNumberFormat="1" applyFont="1" applyFill="1" applyBorder="1" applyAlignment="1">
      <x:alignment horizontal="center" vertical="center"/>
    </x:xf>
    <x:xf numFmtId="201" fontId="12" fillId="5" borderId="12" xfId="0" applyNumberFormat="1" applyFont="1" applyFill="1" applyBorder="1" applyAlignment="1">
      <x:alignment horizontal="center" vertical="center"/>
    </x:xf>
    <x:xf numFmtId="202" fontId="11" fillId="4" borderId="20" xfId="0" applyNumberFormat="1" applyFont="1" applyFill="1" applyBorder="1" applyAlignment="1">
      <x:alignment horizontal="left" vertical="center" wrapText="1"/>
    </x:xf>
    <x:xf numFmtId="202" fontId="11" fillId="7" borderId="20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/>
    <x:xf numFmtId="203" fontId="11" fillId="4" borderId="20" xfId="0" applyNumberFormat="1" applyFont="1" applyFill="1" applyBorder="1" applyAlignment="1">
      <x:alignment horizontal="right" vertical="center" wrapText="1"/>
    </x:xf>
    <x:xf numFmtId="203" fontId="11" fillId="7" borderId="20" xfId="0" applyNumberFormat="1" applyFont="1" applyFill="1" applyBorder="1" applyAlignment="1">
      <x:alignment horizontal="right" vertical="center" wrapText="1"/>
    </x:xf>
    <x:xf numFmtId="203" fontId="0" fillId="0" borderId="0" xfId="0" applyNumberFormat="1" applyFont="1" applyFill="1" applyBorder="1"/>
    <x:xf numFmtId="202" fontId="11" fillId="4" borderId="20" xfId="0" applyNumberFormat="1" applyFont="1" applyFill="1" applyBorder="1" applyAlignment="1">
      <x:alignment horizontal="right" vertical="center" wrapText="1"/>
    </x:xf>
    <x:xf numFmtId="202" fontId="11" fillId="7" borderId="20" xfId="0" applyNumberFormat="1" applyFont="1" applyFill="1" applyBorder="1" applyAlignment="1">
      <x:alignment horizontal="right" vertical="center" wrapText="1"/>
    </x:xf>
    <x:xf numFmtId="200" fontId="11" fillId="4" borderId="20" xfId="0" applyNumberFormat="1" applyFont="1" applyFill="1" applyBorder="1" applyAlignment="1">
      <x:alignment horizontal="left" vertical="center" wrapText="1"/>
    </x:xf>
    <x:xf numFmtId="200" fontId="11" fillId="7" borderId="2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11" fillId="4" borderId="20" xfId="0" applyNumberFormat="1" applyFont="1" applyFill="1" applyBorder="1" applyAlignment="1">
      <x:alignment horizontal="left" vertical="center" wrapText="1"/>
    </x:xf>
    <x:xf numFmtId="201" fontId="11" fillId="7" borderId="2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11" fillId="4" borderId="20" xfId="0" applyNumberFormat="1" applyFont="1" applyFill="1" applyBorder="1" applyAlignment="1">
      <x:alignment horizontal="left" vertical="center" wrapText="1"/>
    </x:xf>
    <x:xf numFmtId="0" fontId="11" fillId="4" borderId="20" xfId="0" applyNumberFormat="1" applyFont="1" applyFill="1" applyBorder="1" applyAlignment="1">
      <x:alignment horizontal="center" vertical="center" wrapText="1"/>
    </x:xf>
    <x:xf numFmtId="0" fontId="11" fillId="7" borderId="20" xfId="0" applyNumberFormat="1" applyFont="1" applyFill="1" applyBorder="1" applyAlignment="1">
      <x:alignment horizontal="left" vertical="center" wrapText="1"/>
    </x:xf>
    <x:xf numFmtId="0" fontId="11" fillId="7" borderId="20" xfId="0" applyNumberFormat="1" applyFont="1" applyFill="1" applyBorder="1" applyAlignment="1">
      <x:alignment horizontal="center" vertical="center" wrapText="1"/>
    </x:xf>
    <x:xf numFmtId="0" fontId="11" fillId="4" borderId="10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left"/>
    </x:xf>
    <x:xf numFmtId="0" fontId="13" fillId="8" borderId="0" xfId="0" applyNumberFormat="1" applyFont="1" applyFill="1" applyBorder="1" applyAlignment="1">
      <x:alignment horizontal="left" vertical="center"/>
    </x:xf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horizont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8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6af88f04f4c1c" /><Relationship Type="http://schemas.openxmlformats.org/officeDocument/2006/relationships/theme" Target="/xl/theme/theme1.xml" Id="Ra67abd63b5184a77" /><Relationship Type="http://schemas.openxmlformats.org/officeDocument/2006/relationships/sharedStrings" Target="/xl/sharedStrings.xml" Id="R01a476fdb1c44936" /><Relationship Type="http://schemas.openxmlformats.org/officeDocument/2006/relationships/worksheet" Target="/xl/worksheets/sheet1.xml" Id="Ra58a1df2fc604a7c" /><Relationship Type="http://schemas.openxmlformats.org/officeDocument/2006/relationships/worksheet" Target="/xl/worksheets/sheet2.xml" Id="R7927c0b71c5d48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18" customWidth="1"/>
    <x:col min="2" max="2" width="23" style="18" customWidth="1"/>
    <x:col min="3" max="3" width="20" style="18" customWidth="1"/>
    <x:col min="4" max="4" width="22" style="18" customWidth="1"/>
    <x:col min="5" max="5" width="15" style="18" customWidth="1"/>
    <x:col min="6" max="6" width="13" style="18" customWidth="1"/>
    <x:col min="7" max="8" width="18" style="18" customWidth="1"/>
    <x:col min="9" max="9" width="14" style="18" customWidth="1"/>
    <x:col min="10" max="10" width="13" style="18" customWidth="1"/>
    <x:col min="11" max="11" width="34" style="18" customWidth="1"/>
    <x:col min="12" max="13" width="20" style="18" customWidth="1"/>
    <x:col min="14" max="14" width="14" style="18" customWidth="1"/>
    <x:col min="15" max="15" width="17" style="18" customWidth="1"/>
    <x:col min="16" max="16" width="3" style="18" customWidth="1"/>
    <x:col min="17" max="17" width="24" style="18" customWidth="1"/>
    <x:col min="18" max="18" width="14" style="18" customWidth="1"/>
    <x:col min="19" max="19" width="16" style="18" customWidth="1"/>
    <x:col min="20" max="27" width="8.83203125" style="18" customWidth="1"/>
    <x:col min="28" max="16384" width="12.6640625" style="18" customWidth="0"/>
  </x:cols>
  <x:sheetData>
    <x:row r="2" ht="24" customHeight="1">
      <x:c r="B2" s="37" t="str">
        <x:v>Job Application Pipeline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9"/>
      <x:c r="P2" s="19"/>
      <x:c r="Q2" s="40" t="str">
        <x:v>Pipeline Controls</x:v>
      </x:c>
      <x:c r="R2" s="41"/>
      <x:c r="S2" s="42"/>
    </x:row>
    <x:row r="3" ht="24" customHeight="1">
      <x:c r="B3" s="46" t="str">
        <x:v>Cognition + Atoms / Picnic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9"/>
      <x:c r="P3" s="19"/>
      <x:c r="Q3" s="43"/>
      <x:c r="R3" s="44"/>
      <x:c r="S3" s="45"/>
    </x:row>
    <x:row r="4" ht="13.5" customHeight="1"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36" t="s">
        <x:v>0</x:v>
      </x:c>
      <x:c r="R4" s="27"/>
      <x:c r="S4" s="52" t="n">
        <x:v>46251</x:v>
      </x:c>
    </x:row>
    <x:row r="5" ht="19.5" customHeight="1">
      <x:c r="B5" s="35" t="str">
        <x:v>OPEN PUBLISHED BASE</x:v>
      </x:c>
      <x:c r="C5" s="26"/>
      <x:c r="D5" s="27"/>
      <x:c r="E5" s="35" t="str">
        <x:v>WEIGHTED BASE MIDPOINT</x:v>
      </x:c>
      <x:c r="F5" s="26"/>
      <x:c r="G5" s="27"/>
      <x:c r="H5" s="35" t="str">
        <x:v>HORIZON FORECAST</x:v>
      </x:c>
      <x:c r="I5" s="26"/>
      <x:c r="J5" s="27"/>
      <x:c r="K5" s="35" t="str">
        <x:v>PIPELINE COVERAGE</x:v>
      </x:c>
      <x:c r="L5" s="26"/>
      <x:c r="M5" s="27"/>
      <x:c r="N5" s="19"/>
      <x:c r="O5" s="19"/>
      <x:c r="P5" s="19"/>
      <x:c r="Q5" s="36" t="s">
        <x:v>1</x:v>
      </x:c>
      <x:c r="R5" s="27"/>
      <x:c r="S5" s="53" t="n">
        <x:v>90</x:v>
      </x:c>
    </x:row>
    <x:row r="6" ht="24.75" customHeight="1">
      <x:c r="B6" s="28" t="n">
        <x:f>IFERROR(SUMIFS($E$16:$E$115,$B$16:$B$115,"&lt;&gt;",$D$16:$D$115,"&lt;&gt;Closed Won",$D$16:$D$115,"&lt;&gt;Closed Lost"),0)</x:f>
        <x:v>366625</x:v>
      </x:c>
      <x:c r="C6" s="29"/>
      <x:c r="D6" s="30"/>
      <x:c r="E6" s="28" t="n">
        <x:f>IFERROR(SUMIFS($O$16:$O$115,$B$16:$B$115,"&lt;&gt;",$D$16:$D$115,"&lt;&gt;Closed Won",$D$16:$D$115,"&lt;&gt;Closed Lost"),0)</x:f>
        <x:v>73325</x:v>
      </x:c>
      <x:c r="F6" s="29"/>
      <x:c r="G6" s="30"/>
      <x:c r="H6" s="28" t="n">
        <x:f>IFERROR(SUMPRODUCT($O$16:$O$115,--($B$16:$B$115&lt;&gt;""),--($H$16:$H$115&gt;=$S$4),--($H$16:$H$115&lt;=$S$4+$S$5),--($D$16:$D$115&lt;&gt;"Closed Won"),--($D$16:$D$115&lt;&gt;"Closed Lost")),0)</x:f>
        <x:v>0</x:v>
      </x:c>
      <x:c r="I6" s="29"/>
      <x:c r="J6" s="30"/>
      <x:c r="K6" s="34" t="str">
        <x:f>IFERROR(B6/$S$6,"N/A")</x:f>
        <x:v>N/A</x:v>
      </x:c>
      <x:c r="L6" s="29"/>
      <x:c r="M6" s="30"/>
      <x:c r="N6" s="19"/>
      <x:c r="O6" s="19"/>
      <x:c r="P6" s="19"/>
      <x:c r="Q6" s="36" t="str">
        <x:v>Target Compensation</x:v>
      </x:c>
      <x:c r="R6" s="27"/>
      <x:c r="S6" s="22"/>
    </x:row>
    <x:row r="7" ht="24.75" customHeight="1">
      <x:c r="B7" s="31"/>
      <x:c r="C7" s="32"/>
      <x:c r="D7" s="33"/>
      <x:c r="E7" s="31"/>
      <x:c r="F7" s="32"/>
      <x:c r="G7" s="33"/>
      <x:c r="H7" s="31"/>
      <x:c r="I7" s="32"/>
      <x:c r="J7" s="33"/>
      <x:c r="K7" s="31"/>
      <x:c r="L7" s="32"/>
      <x:c r="M7" s="33"/>
      <x:c r="N7" s="19"/>
      <x:c r="O7" s="19"/>
      <x:c r="P7" s="19"/>
      <x:c r="Q7" s="36" t="str">
        <x:v>Stale Threshold</x:v>
      </x:c>
      <x:c r="R7" s="27"/>
      <x:c r="S7" s="53" t="n">
        <x:v>30</x:v>
      </x:c>
    </x:row>
    <x:row r="8" ht="13.5" customHeight="1"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</x:row>
    <x:row r="9" ht="19.5" customHeight="1">
      <x:c r="B9" s="35" t="s">
        <x:v>2</x:v>
      </x:c>
      <x:c r="C9" s="26"/>
      <x:c r="D9" s="27"/>
      <x:c r="E9" s="35" t="s">
        <x:v>3</x:v>
      </x:c>
      <x:c r="F9" s="26"/>
      <x:c r="G9" s="27"/>
      <x:c r="H9" s="35" t="s">
        <x:v>4</x:v>
      </x:c>
      <x:c r="I9" s="26"/>
      <x:c r="J9" s="27"/>
      <x:c r="K9" s="35" t="s">
        <x:v>5</x:v>
      </x:c>
      <x:c r="L9" s="26"/>
      <x:c r="M9" s="27"/>
      <x:c r="N9" s="19"/>
      <x:c r="O9" s="19"/>
      <x:c r="P9" s="19"/>
      <x:c r="Q9" s="19"/>
      <x:c r="R9" s="19"/>
      <x:c r="S9" s="19"/>
    </x:row>
    <x:row r="10" ht="24.75" customHeight="1">
      <x:c r="B10" s="47" t="str">
        <x:f>IF(COUNTIFS($B$16:$B$115,"&lt;&gt;",$D$16:$D$115,"Closed Won")+COUNTIFS($B$16:$B$115,"&lt;&gt;",$D$16:$D$115,"Closed Lost")=0,"N/A",COUNTIFS($B$16:$B$115,"&lt;&gt;",$D$16:$D$115,"Closed Won")/(COUNTIFS($B$16:$B$115,"&lt;&gt;",$D$16:$D$115,"Closed Won")+COUNTIFS($B$16:$B$115,"&lt;&gt;",$D$16:$D$115,"Closed Lost")))</x:f>
        <x:v>N/A</x:v>
      </x:c>
      <x:c r="C10" s="29"/>
      <x:c r="D10" s="30"/>
      <x:c r="E10" s="48" t="str">
        <x:f>IF(COUNTIFS($B$16:$B$115,"&lt;&gt;",$D$16:$D$115,"Closed Won")=0,"N/A",SUMIFS($I$16:$I$115,$B$16:$B$115,"&lt;&gt;",$D$16:$D$115,"Closed Won")/COUNTIFS($B$16:$B$115,"&lt;&gt;",$D$16:$D$115,"Closed Won"))</x:f>
        <x:v>N/A</x:v>
      </x:c>
      <x:c r="F10" s="29"/>
      <x:c r="G10" s="30"/>
      <x:c r="H10" s="49" t="n">
        <x:f>COUNTIFS($B$16:$B$115,"&lt;&gt;",$D$16:$D$115,"&lt;&gt;Closed Won",$D$16:$D$115,"&lt;&gt;Closed Lost")</x:f>
        <x:v>3</x:v>
      </x:c>
      <x:c r="I10" s="29"/>
      <x:c r="J10" s="30"/>
      <x:c r="K10" s="50" t="n">
        <x:f>COUNTIFS($B$16:$B$115,"&lt;&gt;",$J$16:$J$115,"STALE",$D$16:$D$115,"&lt;&gt;Closed Won",$D$16:$D$115,"&lt;&gt;Closed Lost")</x:f>
        <x:v>0</x:v>
      </x:c>
      <x:c r="L10" s="29"/>
      <x:c r="M10" s="30"/>
      <x:c r="N10" s="19"/>
      <x:c r="O10" s="19"/>
      <x:c r="P10" s="19"/>
      <x:c r="Q10" s="1" t="s">
        <x:v>6</x:v>
      </x:c>
      <x:c r="R10" s="1" t="s">
        <x:v>7</x:v>
      </x:c>
      <x:c r="S10" s="19"/>
    </x:row>
    <x:row r="11" ht="24.75" customHeight="1">
      <x:c r="B11" s="31"/>
      <x:c r="C11" s="32"/>
      <x:c r="D11" s="33"/>
      <x:c r="E11" s="31"/>
      <x:c r="F11" s="32"/>
      <x:c r="G11" s="33"/>
      <x:c r="H11" s="31"/>
      <x:c r="I11" s="32"/>
      <x:c r="J11" s="33"/>
      <x:c r="K11" s="31"/>
      <x:c r="L11" s="32"/>
      <x:c r="M11" s="33"/>
      <x:c r="N11" s="19"/>
      <x:c r="O11" s="19"/>
      <x:c r="P11" s="19"/>
      <x:c r="Q11" s="2" t="s">
        <x:v>8</x:v>
      </x:c>
      <x:c r="R11" s="3">
        <x:v>0.1</x:v>
      </x:c>
      <x:c r="S11" s="19"/>
    </x:row>
    <x:row r="12" ht="13.5" customHeight="1"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2" t="s">
        <x:v>9</x:v>
      </x:c>
      <x:c r="R12" s="3">
        <x:v>0.2</x:v>
      </x:c>
      <x:c r="S12" s="19"/>
    </x:row>
    <x:row r="13" ht="13.5" customHeight="1">
      <x:c r="B13" s="51" t="str">
        <x:v>Application Portfolio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9"/>
      <x:c r="P13" s="19"/>
      <x:c r="Q13" s="2" t="s">
        <x:v>10</x:v>
      </x:c>
      <x:c r="R13" s="3">
        <x:v>0.35</x:v>
      </x:c>
      <x:c r="S13" s="19"/>
    </x:row>
    <x:row r="14" ht="38" customHeight="1">
      <x:c r="B14" s="72" t="str">
        <x:v>Three evidence-backed roles. Published base ranges only; blank compensation or dates mean no forecast was inferred. Template probabilities track stage, not hiring odds.</x:v>
      </x:c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4"/>
      <x:c r="P14" s="19"/>
      <x:c r="Q14" s="2" t="s">
        <x:v>11</x:v>
      </x:c>
      <x:c r="R14" s="3">
        <x:v>0.55000000000000004</x:v>
      </x:c>
      <x:c r="S14" s="19"/>
    </x:row>
    <x:row r="15" ht="33.75" customHeight="1">
      <x:c r="B15" s="1" t="s">
        <x:v>12</x:v>
      </x:c>
      <x:c r="C15" s="1" t="s">
        <x:v>13</x:v>
      </x:c>
      <x:c r="D15" s="1" t="s">
        <x:v>6</x:v>
      </x:c>
      <x:c r="E15" s="1" t="str">
        <x:v>Published Base Midpoint (USD)</x:v>
      </x:c>
      <x:c r="F15" s="1" t="str">
        <x:v>Stage Probability</x:v>
      </x:c>
      <x:c r="G15" s="1" t="str">
        <x:v>Forecast Category</x:v>
      </x:c>
      <x:c r="H15" s="1" t="str">
        <x:v>Expected Close Date</x:v>
      </x:c>
      <x:c r="I15" s="1" t="str">
        <x:v>Days in Stage</x:v>
      </x:c>
      <x:c r="J15" s="1" t="s">
        <x:v>14</x:v>
      </x:c>
      <x:c r="K15" s="1" t="str">
        <x:v>Next Action</x:v>
      </x:c>
      <x:c r="L15" s="1" t="str">
        <x:v>Lead Source</x:v>
      </x:c>
      <x:c r="M15" s="1" t="str">
        <x:v>Application Segment</x:v>
      </x:c>
      <x:c r="N15" s="1" t="s">
        <x:v>15</x:v>
      </x:c>
      <x:c r="O15" s="1" t="str">
        <x:v>Weighted Base Midpoint</x:v>
      </x:c>
      <x:c r="P15" s="19"/>
      <x:c r="Q15" s="2" t="s">
        <x:v>16</x:v>
      </x:c>
      <x:c r="R15" s="3">
        <x:v>0.7</x:v>
      </x:c>
      <x:c r="S15" s="19"/>
    </x:row>
    <x:row r="16" ht="46" customHeight="1">
      <x:c r="B16" s="68" t="str">
        <x:v>Cognition</x:v>
      </x:c>
      <x:c r="C16" s="68" t="str">
        <x:v>Adam Pangelinan</x:v>
      </x:c>
      <x:c r="D16" s="69" t="str">
        <x:v>Qualification</x:v>
      </x:c>
      <x:c r="E16" s="54" t="n">
        <x:v>202500</x:v>
      </x:c>
      <x:c r="F16" s="57" t="n">
        <x:f t="shared" ref="F16:F39" si="0">IF(B16="","",IFERROR(INDEX($R$11:$R$18,MATCH(D16,$Q$11:$Q$18,0)),0))</x:f>
        <x:v>0.2</x:v>
      </x:c>
      <x:c r="G16" s="69" t="str">
        <x:v>Pipeline</x:v>
      </x:c>
      <x:c r="H16" s="62"/>
      <x:c r="I16" s="65" t="n">
        <x:v>0</x:v>
      </x:c>
      <x:c r="J16" s="69" t="str">
        <x:f t="shared" ref="J16:J39" si="1">IF(B16="","",IF(OR(D16="Closed Won",D16="Closed Lost"),"Closed",IF(OR(I16&gt;$S$7,AND(H16&lt;&gt;"",H16&lt;$S$4)),"STALE","Current")))</x:f>
        <x:v>Current</x:v>
      </x:c>
      <x:c r="K16" s="68" t="str">
        <x:v>Open packet, fill deterministic fields, attach approved resume, then pause at Singapore authorization or sponsorship.</x:v>
      </x:c>
      <x:c r="L16" s="68" t="str">
        <x:v>Direct employer careers page</x:v>
      </x:c>
      <x:c r="M16" s="68" t="str">
        <x:v>Applied AI / Customer Engineering</x:v>
      </x:c>
      <x:c r="N16" s="69" t="str">
        <x:v>High</x:v>
      </x:c>
      <x:c r="O16" s="60" t="n">
        <x:f t="shared" ref="O16:O39" si="2">IF(B16="","",E16*F16)</x:f>
        <x:v>40500</x:v>
      </x:c>
      <x:c r="P16" s="19"/>
      <x:c r="Q16" s="2" t="s">
        <x:v>17</x:v>
      </x:c>
      <x:c r="R16" s="3">
        <x:v>0.85</x:v>
      </x:c>
      <x:c r="S16" s="19"/>
    </x:row>
    <x:row r="17" ht="46" customHeight="1">
      <x:c r="B17" s="70" t="str">
        <x:v>Atoms / Picnic</x:v>
      </x:c>
      <x:c r="C17" s="70" t="str">
        <x:v>Adam Pangelinan</x:v>
      </x:c>
      <x:c r="D17" s="71" t="str">
        <x:v>Qualification</x:v>
      </x:c>
      <x:c r="E17" s="55" t="n">
        <x:v>164125</x:v>
      </x:c>
      <x:c r="F17" s="58" t="n">
        <x:f t="shared" si="0">IF(B17="","",IFERROR(INDEX($R$11:$R$18,MATCH(D17,$Q$11:$Q$18,0)),0))</x:f>
        <x:v>0.2</x:v>
      </x:c>
      <x:c r="G17" s="71" t="str">
        <x:v>Pipeline</x:v>
      </x:c>
      <x:c r="H17" s="63"/>
      <x:c r="I17" s="66" t="n">
        <x:v>0</x:v>
      </x:c>
      <x:c r="J17" s="71" t="str">
        <x:f t="shared" si="1">IF(B17="","",IF(OR(D17="Closed Won",D17="Closed Lost"),"Closed",IF(OR(I17&gt;$S$7,AND(H17&lt;&gt;"",H17&lt;$S$4)),"STALE","Current")))</x:f>
        <x:v>Current</x:v>
      </x:c>
      <x:c r="K17" s="70" t="str">
        <x:v>Confirm New York five-day onsite willingness, then prepare the form with the approved resume.</x:v>
      </x:c>
      <x:c r="L17" s="70" t="str">
        <x:v>Direct employer careers page</x:v>
      </x:c>
      <x:c r="M17" s="70" t="str">
        <x:v>Frontend / Product Engineering</x:v>
      </x:c>
      <x:c r="N17" s="71" t="str">
        <x:v>Medium</x:v>
      </x:c>
      <x:c r="O17" s="61" t="n">
        <x:f t="shared" si="2">IF(B17="","",E17*F17)</x:f>
        <x:v>32825</x:v>
      </x:c>
      <x:c r="P17" s="19"/>
      <x:c r="Q17" s="2" t="s">
        <x:v>18</x:v>
      </x:c>
      <x:c r="R17" s="3">
        <x:v>1</x:v>
      </x:c>
      <x:c r="S17" s="19"/>
    </x:row>
    <x:row r="18" ht="46" customHeight="1">
      <x:c r="B18" s="68" t="str">
        <x:v>Cognition</x:v>
      </x:c>
      <x:c r="C18" s="68" t="str">
        <x:v>Adam Pangelinan</x:v>
      </x:c>
      <x:c r="D18" s="69" t="str">
        <x:v>Qualification</x:v>
      </x:c>
      <x:c r="E18" s="54"/>
      <x:c r="F18" s="57" t="n">
        <x:f t="shared" si="0">IF(B18="","",IFERROR(INDEX($R$11:$R$18,MATCH(D18,$Q$11:$Q$18,0)),0))</x:f>
        <x:v>0.2</x:v>
      </x:c>
      <x:c r="G18" s="69" t="str">
        <x:v>Pipeline</x:v>
      </x:c>
      <x:c r="H18" s="62"/>
      <x:c r="I18" s="65" t="n">
        <x:v>0</x:v>
      </x:c>
      <x:c r="J18" s="69" t="str">
        <x:f t="shared" si="1">IF(B18="","",IF(OR(D18="Closed Won",D18="Closed Lost"),"Closed",IF(OR(I18&gt;$S$7,AND(H18&lt;&gt;"",H18&lt;$S$4)),"STALE","Current")))</x:f>
        <x:v>Current</x:v>
      </x:c>
      <x:c r="K18" s="68" t="str">
        <x:v>Prepare a concise support statement about agent UX and harness work, then fill deterministic fields.</x:v>
      </x:c>
      <x:c r="L18" s="68" t="str">
        <x:v>Direct employer careers page</x:v>
      </x:c>
      <x:c r="M18" s="68" t="str">
        <x:v>Product / Agent Engineering</x:v>
      </x:c>
      <x:c r="N18" s="69" t="str">
        <x:v>Medium</x:v>
      </x:c>
      <x:c r="O18" s="60" t="n">
        <x:f t="shared" si="2">IF(B18="","",E18*F18)</x:f>
        <x:v>0</x:v>
      </x:c>
      <x:c r="P18" s="19"/>
      <x:c r="Q18" s="2" t="s">
        <x:v>19</x:v>
      </x:c>
      <x:c r="R18" s="3">
        <x:v>0</x:v>
      </x:c>
      <x:c r="S18" s="19"/>
    </x:row>
    <x:row r="19" ht="13.5" customHeight="1">
      <x:c r="B19" s="11"/>
      <x:c r="C19" s="11"/>
      <x:c r="D19" s="12"/>
      <x:c r="E19" s="55"/>
      <x:c r="F19" s="58" t="str">
        <x:f t="shared" si="0">IF(B19="","",IFERROR(INDEX($R$11:$R$18,MATCH(D19,$Q$11:$Q$18,0)),0))</x:f>
      </x:c>
      <x:c r="G19" s="12"/>
      <x:c r="H19" s="63"/>
      <x:c r="I19" s="66"/>
      <x:c r="J19" s="12" t="str">
        <x:f t="shared" si="1">IF(B19="","",IF(OR(D19="Closed Won",D19="Closed Lost"),"Closed",IF(OR(I19&gt;$S$7,AND(H19&lt;&gt;"",H19&lt;$S$4)),"STALE","Current")))</x:f>
      </x:c>
      <x:c r="K19" s="11"/>
      <x:c r="L19" s="11"/>
      <x:c r="M19" s="11"/>
      <x:c r="N19" s="12"/>
      <x:c r="O19" s="61" t="str">
        <x:f t="shared" si="2">IF(B19="","",E19*F19)</x:f>
      </x:c>
      <x:c r="P19" s="19"/>
      <x:c r="Q19" s="19"/>
      <x:c r="R19" s="19"/>
      <x:c r="S19" s="19"/>
    </x:row>
    <x:row r="20" ht="13.5" customHeight="1">
      <x:c r="B20" s="4"/>
      <x:c r="C20" s="4"/>
      <x:c r="D20" s="5"/>
      <x:c r="E20" s="54"/>
      <x:c r="F20" s="57" t="str">
        <x:f t="shared" si="0">IF(B20="","",IFERROR(INDEX($R$11:$R$18,MATCH(D20,$Q$11:$Q$18,0)),0))</x:f>
      </x:c>
      <x:c r="G20" s="5"/>
      <x:c r="H20" s="62"/>
      <x:c r="I20" s="65"/>
      <x:c r="J20" s="5" t="str">
        <x:f t="shared" si="1">IF(B20="","",IF(OR(D20="Closed Won",D20="Closed Lost"),"Closed",IF(OR(I20&gt;$S$7,AND(H20&lt;&gt;"",H20&lt;$S$4)),"STALE","Current")))</x:f>
      </x:c>
      <x:c r="K20" s="4"/>
      <x:c r="L20" s="4"/>
      <x:c r="M20" s="4"/>
      <x:c r="N20" s="5"/>
      <x:c r="O20" s="60" t="str">
        <x:f t="shared" si="2">IF(B20="","",E20*F20)</x:f>
      </x:c>
      <x:c r="P20" s="19"/>
      <x:c r="Q20" s="51" t="s">
        <x:v>20</x:v>
      </x:c>
      <x:c r="R20" s="38"/>
      <x:c r="S20" s="39"/>
    </x:row>
    <x:row r="21" ht="13.5" customHeight="1">
      <x:c r="B21" s="11"/>
      <x:c r="C21" s="11"/>
      <x:c r="D21" s="12"/>
      <x:c r="E21" s="55"/>
      <x:c r="F21" s="58" t="str">
        <x:f t="shared" si="0">IF(B21="","",IFERROR(INDEX($R$11:$R$18,MATCH(D21,$Q$11:$Q$18,0)),0))</x:f>
      </x:c>
      <x:c r="G21" s="12"/>
      <x:c r="H21" s="63"/>
      <x:c r="I21" s="66"/>
      <x:c r="J21" s="12" t="str">
        <x:f t="shared" si="1">IF(B21="","",IF(OR(D21="Closed Won",D21="Closed Lost"),"Closed",IF(OR(I21&gt;$S$7,AND(H21&lt;&gt;"",H21&lt;$S$4)),"STALE","Current")))</x:f>
      </x:c>
      <x:c r="K21" s="11"/>
      <x:c r="L21" s="11"/>
      <x:c r="M21" s="11"/>
      <x:c r="N21" s="12"/>
      <x:c r="O21" s="61" t="str">
        <x:f t="shared" si="2">IF(B21="","",E21*F21)</x:f>
      </x:c>
      <x:c r="P21" s="19"/>
      <x:c r="Q21" s="36" t="s">
        <x:v>21</x:v>
      </x:c>
      <x:c r="R21" s="27"/>
      <x:c r="S21" s="23" t="n">
        <x:f>COUNTIF($B$16:$B$115,"&lt;&gt;")</x:f>
        <x:v>3</x:v>
      </x:c>
    </x:row>
    <x:row r="22" ht="13.5" customHeight="1">
      <x:c r="B22" s="4"/>
      <x:c r="C22" s="4"/>
      <x:c r="D22" s="5"/>
      <x:c r="E22" s="54"/>
      <x:c r="F22" s="57" t="str">
        <x:f t="shared" si="0">IF(B22="","",IFERROR(INDEX($R$11:$R$18,MATCH(D22,$Q$11:$Q$18,0)),0))</x:f>
      </x:c>
      <x:c r="G22" s="5"/>
      <x:c r="H22" s="62"/>
      <x:c r="I22" s="65"/>
      <x:c r="J22" s="5" t="str">
        <x:f t="shared" si="1">IF(B22="","",IF(OR(D22="Closed Won",D22="Closed Lost"),"Closed",IF(OR(I22&gt;$S$7,AND(H22&lt;&gt;"",H22&lt;$S$4)),"STALE","Current")))</x:f>
      </x:c>
      <x:c r="K22" s="4"/>
      <x:c r="L22" s="4"/>
      <x:c r="M22" s="4"/>
      <x:c r="N22" s="5"/>
      <x:c r="O22" s="60" t="str">
        <x:f t="shared" si="2">IF(B22="","",E22*F22)</x:f>
      </x:c>
      <x:c r="P22" s="19"/>
      <x:c r="Q22" s="36" t="s">
        <x:v>22</x:v>
      </x:c>
      <x:c r="R22" s="27"/>
      <x:c r="S22" s="23" t="n">
        <x:f>MAX(0,100-COUNTIF($B$16:$B$115,"&lt;&gt;"))</x:f>
        <x:v>97</x:v>
      </x:c>
    </x:row>
    <x:row r="23" ht="13.5" customHeight="1">
      <x:c r="B23" s="11"/>
      <x:c r="C23" s="11"/>
      <x:c r="D23" s="12"/>
      <x:c r="E23" s="55"/>
      <x:c r="F23" s="58" t="str">
        <x:f t="shared" si="0">IF(B23="","",IFERROR(INDEX($R$11:$R$18,MATCH(D23,$Q$11:$Q$18,0)),0))</x:f>
      </x:c>
      <x:c r="G23" s="12"/>
      <x:c r="H23" s="63"/>
      <x:c r="I23" s="66"/>
      <x:c r="J23" s="12" t="str">
        <x:f t="shared" si="1">IF(B23="","",IF(OR(D23="Closed Won",D23="Closed Lost"),"Closed",IF(OR(I23&gt;$S$7,AND(H23&lt;&gt;"",H23&lt;$S$4)),"STALE","Current")))</x:f>
      </x:c>
      <x:c r="K23" s="11"/>
      <x:c r="L23" s="11"/>
      <x:c r="M23" s="11"/>
      <x:c r="N23" s="12"/>
      <x:c r="O23" s="61" t="str">
        <x:f t="shared" si="2">IF(B23="","",E23*F23)</x:f>
      </x:c>
      <x:c r="P23" s="19"/>
      <x:c r="Q23" s="36" t="s">
        <x:v>23</x:v>
      </x:c>
      <x:c r="R23" s="27"/>
      <x:c r="S23" s="24" t="str">
        <x:f>"100 deal rows (15:"&amp;114&amp;")"</x:f>
        <x:v>100 deal rows (15:114)</x:v>
      </x:c>
    </x:row>
    <x:row r="24" ht="13.5" customHeight="1">
      <x:c r="B24" s="4"/>
      <x:c r="C24" s="4"/>
      <x:c r="D24" s="5"/>
      <x:c r="E24" s="54"/>
      <x:c r="F24" s="57" t="str">
        <x:f t="shared" si="0">IF(B24="","",IFERROR(INDEX($R$11:$R$18,MATCH(D24,$Q$11:$Q$18,0)),0))</x:f>
      </x:c>
      <x:c r="G24" s="5"/>
      <x:c r="H24" s="62"/>
      <x:c r="I24" s="65"/>
      <x:c r="J24" s="5" t="str">
        <x:f t="shared" si="1">IF(B24="","",IF(OR(D24="Closed Won",D24="Closed Lost"),"Closed",IF(OR(I24&gt;$S$7,AND(H24&lt;&gt;"",H24&lt;$S$4)),"STALE","Current")))</x:f>
      </x:c>
      <x:c r="K24" s="4"/>
      <x:c r="L24" s="4"/>
      <x:c r="M24" s="4"/>
      <x:c r="N24" s="5"/>
      <x:c r="O24" s="60" t="str">
        <x:f t="shared" si="2">IF(B24="","",E24*F24)</x:f>
      </x:c>
      <x:c r="P24" s="19"/>
      <x:c r="Q24" s="19"/>
      <x:c r="R24" s="19"/>
      <x:c r="S24" s="19"/>
    </x:row>
    <x:row r="25" ht="13.5" customHeight="1">
      <x:c r="B25" s="11"/>
      <x:c r="C25" s="11"/>
      <x:c r="D25" s="12"/>
      <x:c r="E25" s="55"/>
      <x:c r="F25" s="58" t="str">
        <x:f t="shared" si="0">IF(B25="","",IFERROR(INDEX($R$11:$R$18,MATCH(D25,$Q$11:$Q$18,0)),0))</x:f>
      </x:c>
      <x:c r="G25" s="12"/>
      <x:c r="H25" s="63"/>
      <x:c r="I25" s="66"/>
      <x:c r="J25" s="12" t="str">
        <x:f t="shared" si="1">IF(B25="","",IF(OR(D25="Closed Won",D25="Closed Lost"),"Closed",IF(OR(I25&gt;$S$7,AND(H25&lt;&gt;"",H25&lt;$S$4)),"STALE","Current")))</x:f>
      </x:c>
      <x:c r="K25" s="11"/>
      <x:c r="L25" s="11"/>
      <x:c r="M25" s="11"/>
      <x:c r="N25" s="12"/>
      <x:c r="O25" s="61" t="str">
        <x:f t="shared" si="2">IF(B25="","",E25*F25)</x:f>
      </x:c>
      <x:c r="P25" s="19"/>
      <x:c r="Q25" s="19"/>
      <x:c r="R25" s="19"/>
      <x:c r="S25" s="19"/>
    </x:row>
    <x:row r="26" ht="13.5" customHeight="1">
      <x:c r="B26" s="4"/>
      <x:c r="C26" s="4"/>
      <x:c r="D26" s="5"/>
      <x:c r="E26" s="54"/>
      <x:c r="F26" s="57" t="str">
        <x:f t="shared" si="0">IF(B26="","",IFERROR(INDEX($R$11:$R$18,MATCH(D26,$Q$11:$Q$18,0)),0))</x:f>
      </x:c>
      <x:c r="G26" s="5"/>
      <x:c r="H26" s="62"/>
      <x:c r="I26" s="65"/>
      <x:c r="J26" s="5" t="str">
        <x:f t="shared" si="1">IF(B26="","",IF(OR(D26="Closed Won",D26="Closed Lost"),"Closed",IF(OR(I26&gt;$S$7,AND(H26&lt;&gt;"",H26&lt;$S$4)),"STALE","Current")))</x:f>
      </x:c>
      <x:c r="K26" s="4"/>
      <x:c r="L26" s="4"/>
      <x:c r="M26" s="4"/>
      <x:c r="N26" s="5"/>
      <x:c r="O26" s="60" t="str">
        <x:f t="shared" si="2">IF(B26="","",E26*F26)</x:f>
      </x:c>
      <x:c r="P26" s="19"/>
      <x:c r="Q26" s="19"/>
      <x:c r="R26" s="19"/>
      <x:c r="S26" s="19"/>
    </x:row>
    <x:row r="27" ht="13.5" customHeight="1">
      <x:c r="B27" s="11"/>
      <x:c r="C27" s="11"/>
      <x:c r="D27" s="12"/>
      <x:c r="E27" s="55"/>
      <x:c r="F27" s="58" t="str">
        <x:f t="shared" si="0">IF(B27="","",IFERROR(INDEX($R$11:$R$18,MATCH(D27,$Q$11:$Q$18,0)),0))</x:f>
      </x:c>
      <x:c r="G27" s="12"/>
      <x:c r="H27" s="63"/>
      <x:c r="I27" s="66"/>
      <x:c r="J27" s="12" t="str">
        <x:f t="shared" si="1">IF(B27="","",IF(OR(D27="Closed Won",D27="Closed Lost"),"Closed",IF(OR(I27&gt;$S$7,AND(H27&lt;&gt;"",H27&lt;$S$4)),"STALE","Current")))</x:f>
      </x:c>
      <x:c r="K27" s="11"/>
      <x:c r="L27" s="11"/>
      <x:c r="M27" s="11"/>
      <x:c r="N27" s="12"/>
      <x:c r="O27" s="61" t="str">
        <x:f t="shared" si="2">IF(B27="","",E27*F27)</x:f>
      </x:c>
      <x:c r="P27" s="19"/>
      <x:c r="Q27" s="19"/>
      <x:c r="R27" s="19"/>
      <x:c r="S27" s="19"/>
    </x:row>
    <x:row r="28" ht="13.5" customHeight="1">
      <x:c r="B28" s="4"/>
      <x:c r="C28" s="4"/>
      <x:c r="D28" s="5"/>
      <x:c r="E28" s="54"/>
      <x:c r="F28" s="57" t="str">
        <x:f t="shared" si="0">IF(B28="","",IFERROR(INDEX($R$11:$R$18,MATCH(D28,$Q$11:$Q$18,0)),0))</x:f>
      </x:c>
      <x:c r="G28" s="5"/>
      <x:c r="H28" s="62"/>
      <x:c r="I28" s="65"/>
      <x:c r="J28" s="5" t="str">
        <x:f t="shared" si="1">IF(B28="","",IF(OR(D28="Closed Won",D28="Closed Lost"),"Closed",IF(OR(I28&gt;$S$7,AND(H28&lt;&gt;"",H28&lt;$S$4)),"STALE","Current")))</x:f>
      </x:c>
      <x:c r="K28" s="4"/>
      <x:c r="L28" s="4"/>
      <x:c r="M28" s="4"/>
      <x:c r="N28" s="5"/>
      <x:c r="O28" s="60" t="str">
        <x:f t="shared" si="2">IF(B28="","",E28*F28)</x:f>
      </x:c>
      <x:c r="P28" s="19"/>
      <x:c r="Q28" s="19"/>
      <x:c r="R28" s="19"/>
      <x:c r="S28" s="19"/>
    </x:row>
    <x:row r="29" ht="13.5" customHeight="1">
      <x:c r="B29" s="11"/>
      <x:c r="C29" s="11"/>
      <x:c r="D29" s="12"/>
      <x:c r="E29" s="55"/>
      <x:c r="F29" s="58" t="str">
        <x:f t="shared" si="0">IF(B29="","",IFERROR(INDEX($R$11:$R$18,MATCH(D29,$Q$11:$Q$18,0)),0))</x:f>
      </x:c>
      <x:c r="G29" s="12"/>
      <x:c r="H29" s="63"/>
      <x:c r="I29" s="66"/>
      <x:c r="J29" s="12" t="str">
        <x:f t="shared" si="1">IF(B29="","",IF(OR(D29="Closed Won",D29="Closed Lost"),"Closed",IF(OR(I29&gt;$S$7,AND(H29&lt;&gt;"",H29&lt;$S$4)),"STALE","Current")))</x:f>
      </x:c>
      <x:c r="K29" s="11"/>
      <x:c r="L29" s="11"/>
      <x:c r="M29" s="11"/>
      <x:c r="N29" s="12"/>
      <x:c r="O29" s="61" t="str">
        <x:f t="shared" si="2">IF(B29="","",E29*F29)</x:f>
      </x:c>
      <x:c r="P29" s="19"/>
      <x:c r="Q29" s="19"/>
      <x:c r="R29" s="19"/>
      <x:c r="S29" s="19"/>
    </x:row>
    <x:row r="30" ht="13.5" customHeight="1">
      <x:c r="B30" s="4"/>
      <x:c r="C30" s="4"/>
      <x:c r="D30" s="5"/>
      <x:c r="E30" s="54"/>
      <x:c r="F30" s="57" t="str">
        <x:f t="shared" si="0">IF(B30="","",IFERROR(INDEX($R$11:$R$18,MATCH(D30,$Q$11:$Q$18,0)),0))</x:f>
      </x:c>
      <x:c r="G30" s="5"/>
      <x:c r="H30" s="62"/>
      <x:c r="I30" s="65"/>
      <x:c r="J30" s="5" t="str">
        <x:f t="shared" si="1">IF(B30="","",IF(OR(D30="Closed Won",D30="Closed Lost"),"Closed",IF(OR(I30&gt;$S$7,AND(H30&lt;&gt;"",H30&lt;$S$4)),"STALE","Current")))</x:f>
      </x:c>
      <x:c r="K30" s="4"/>
      <x:c r="L30" s="4"/>
      <x:c r="M30" s="4"/>
      <x:c r="N30" s="5"/>
      <x:c r="O30" s="60" t="str">
        <x:f t="shared" si="2">IF(B30="","",E30*F30)</x:f>
      </x:c>
      <x:c r="P30" s="19"/>
      <x:c r="Q30" s="19"/>
      <x:c r="R30" s="19"/>
      <x:c r="S30" s="19"/>
    </x:row>
    <x:row r="31" ht="13.5" customHeight="1">
      <x:c r="B31" s="11"/>
      <x:c r="C31" s="11"/>
      <x:c r="D31" s="12"/>
      <x:c r="E31" s="55"/>
      <x:c r="F31" s="58" t="str">
        <x:f t="shared" si="0">IF(B31="","",IFERROR(INDEX($R$11:$R$18,MATCH(D31,$Q$11:$Q$18,0)),0))</x:f>
      </x:c>
      <x:c r="G31" s="12"/>
      <x:c r="H31" s="63"/>
      <x:c r="I31" s="66"/>
      <x:c r="J31" s="12" t="str">
        <x:f t="shared" si="1">IF(B31="","",IF(OR(D31="Closed Won",D31="Closed Lost"),"Closed",IF(OR(I31&gt;$S$7,AND(H31&lt;&gt;"",H31&lt;$S$4)),"STALE","Current")))</x:f>
      </x:c>
      <x:c r="K31" s="11"/>
      <x:c r="L31" s="11"/>
      <x:c r="M31" s="11"/>
      <x:c r="N31" s="12"/>
      <x:c r="O31" s="61" t="str">
        <x:f t="shared" si="2">IF(B31="","",E31*F31)</x:f>
      </x:c>
      <x:c r="P31" s="19"/>
      <x:c r="Q31" s="19"/>
      <x:c r="R31" s="19"/>
      <x:c r="S31" s="19"/>
    </x:row>
    <x:row r="32" ht="13.5" customHeight="1">
      <x:c r="B32" s="4"/>
      <x:c r="C32" s="4"/>
      <x:c r="D32" s="5"/>
      <x:c r="E32" s="54"/>
      <x:c r="F32" s="57" t="str">
        <x:f t="shared" si="0">IF(B32="","",IFERROR(INDEX($R$11:$R$18,MATCH(D32,$Q$11:$Q$18,0)),0))</x:f>
      </x:c>
      <x:c r="G32" s="5"/>
      <x:c r="H32" s="62"/>
      <x:c r="I32" s="65"/>
      <x:c r="J32" s="5" t="str">
        <x:f t="shared" si="1">IF(B32="","",IF(OR(D32="Closed Won",D32="Closed Lost"),"Closed",IF(OR(I32&gt;$S$7,AND(H32&lt;&gt;"",H32&lt;$S$4)),"STALE","Current")))</x:f>
      </x:c>
      <x:c r="K32" s="4"/>
      <x:c r="L32" s="4"/>
      <x:c r="M32" s="4"/>
      <x:c r="N32" s="5"/>
      <x:c r="O32" s="60" t="str">
        <x:f t="shared" si="2">IF(B32="","",E32*F32)</x:f>
      </x:c>
      <x:c r="P32" s="19"/>
      <x:c r="Q32" s="19"/>
      <x:c r="R32" s="19"/>
      <x:c r="S32" s="19"/>
    </x:row>
    <x:row r="33" ht="13.5" customHeight="1">
      <x:c r="B33" s="11"/>
      <x:c r="C33" s="11"/>
      <x:c r="D33" s="12"/>
      <x:c r="E33" s="55"/>
      <x:c r="F33" s="58" t="str">
        <x:f t="shared" si="0">IF(B33="","",IFERROR(INDEX($R$11:$R$18,MATCH(D33,$Q$11:$Q$18,0)),0))</x:f>
      </x:c>
      <x:c r="G33" s="12"/>
      <x:c r="H33" s="63"/>
      <x:c r="I33" s="66"/>
      <x:c r="J33" s="12" t="str">
        <x:f t="shared" si="1">IF(B33="","",IF(OR(D33="Closed Won",D33="Closed Lost"),"Closed",IF(OR(I33&gt;$S$7,AND(H33&lt;&gt;"",H33&lt;$S$4)),"STALE","Current")))</x:f>
      </x:c>
      <x:c r="K33" s="11"/>
      <x:c r="L33" s="11"/>
      <x:c r="M33" s="11"/>
      <x:c r="N33" s="12"/>
      <x:c r="O33" s="61" t="str">
        <x:f t="shared" si="2">IF(B33="","",E33*F33)</x:f>
      </x:c>
      <x:c r="P33" s="19"/>
      <x:c r="Q33" s="19"/>
      <x:c r="R33" s="19"/>
      <x:c r="S33" s="19"/>
    </x:row>
    <x:row r="34" ht="13.5" customHeight="1">
      <x:c r="B34" s="4"/>
      <x:c r="C34" s="4"/>
      <x:c r="D34" s="5"/>
      <x:c r="E34" s="54"/>
      <x:c r="F34" s="57" t="str">
        <x:f t="shared" si="0">IF(B34="","",IFERROR(INDEX($R$11:$R$18,MATCH(D34,$Q$11:$Q$18,0)),0))</x:f>
      </x:c>
      <x:c r="G34" s="5"/>
      <x:c r="H34" s="62"/>
      <x:c r="I34" s="65"/>
      <x:c r="J34" s="5" t="str">
        <x:f t="shared" si="1">IF(B34="","",IF(OR(D34="Closed Won",D34="Closed Lost"),"Closed",IF(OR(I34&gt;$S$7,AND(H34&lt;&gt;"",H34&lt;$S$4)),"STALE","Current")))</x:f>
      </x:c>
      <x:c r="K34" s="4"/>
      <x:c r="L34" s="4"/>
      <x:c r="M34" s="4"/>
      <x:c r="N34" s="5"/>
      <x:c r="O34" s="60" t="str">
        <x:f t="shared" si="2">IF(B34="","",E34*F34)</x:f>
      </x:c>
      <x:c r="P34" s="19"/>
      <x:c r="Q34" s="19"/>
      <x:c r="R34" s="19"/>
      <x:c r="S34" s="19"/>
    </x:row>
    <x:row r="35" ht="13.5" customHeight="1">
      <x:c r="B35" s="11"/>
      <x:c r="C35" s="11"/>
      <x:c r="D35" s="12"/>
      <x:c r="E35" s="55"/>
      <x:c r="F35" s="58" t="str">
        <x:f t="shared" si="0">IF(B35="","",IFERROR(INDEX($R$11:$R$18,MATCH(D35,$Q$11:$Q$18,0)),0))</x:f>
      </x:c>
      <x:c r="G35" s="12"/>
      <x:c r="H35" s="63"/>
      <x:c r="I35" s="66"/>
      <x:c r="J35" s="12" t="str">
        <x:f t="shared" si="1">IF(B35="","",IF(OR(D35="Closed Won",D35="Closed Lost"),"Closed",IF(OR(I35&gt;$S$7,AND(H35&lt;&gt;"",H35&lt;$S$4)),"STALE","Current")))</x:f>
      </x:c>
      <x:c r="K35" s="11"/>
      <x:c r="L35" s="11"/>
      <x:c r="M35" s="11"/>
      <x:c r="N35" s="12"/>
      <x:c r="O35" s="61" t="str">
        <x:f t="shared" si="2">IF(B35="","",E35*F35)</x:f>
      </x:c>
      <x:c r="P35" s="19"/>
      <x:c r="Q35" s="19"/>
      <x:c r="R35" s="19"/>
      <x:c r="S35" s="19"/>
    </x:row>
    <x:row r="36" ht="13.5" customHeight="1">
      <x:c r="B36" s="4"/>
      <x:c r="C36" s="4"/>
      <x:c r="D36" s="5"/>
      <x:c r="E36" s="54"/>
      <x:c r="F36" s="57" t="str">
        <x:f t="shared" si="0">IF(B36="","",IFERROR(INDEX($R$11:$R$18,MATCH(D36,$Q$11:$Q$18,0)),0))</x:f>
      </x:c>
      <x:c r="G36" s="5"/>
      <x:c r="H36" s="62"/>
      <x:c r="I36" s="65"/>
      <x:c r="J36" s="5" t="str">
        <x:f t="shared" si="1">IF(B36="","",IF(OR(D36="Closed Won",D36="Closed Lost"),"Closed",IF(OR(I36&gt;$S$7,AND(H36&lt;&gt;"",H36&lt;$S$4)),"STALE","Current")))</x:f>
      </x:c>
      <x:c r="K36" s="4"/>
      <x:c r="L36" s="4"/>
      <x:c r="M36" s="4"/>
      <x:c r="N36" s="5"/>
      <x:c r="O36" s="60" t="str">
        <x:f t="shared" si="2">IF(B36="","",E36*F36)</x:f>
      </x:c>
      <x:c r="P36" s="19"/>
      <x:c r="Q36" s="19"/>
      <x:c r="R36" s="19"/>
      <x:c r="S36" s="19"/>
    </x:row>
    <x:row r="37" ht="13.5" customHeight="1">
      <x:c r="B37" s="11"/>
      <x:c r="C37" s="11"/>
      <x:c r="D37" s="12"/>
      <x:c r="E37" s="55"/>
      <x:c r="F37" s="58" t="str">
        <x:f t="shared" si="0">IF(B37="","",IFERROR(INDEX($R$11:$R$18,MATCH(D37,$Q$11:$Q$18,0)),0))</x:f>
      </x:c>
      <x:c r="G37" s="12"/>
      <x:c r="H37" s="63"/>
      <x:c r="I37" s="66"/>
      <x:c r="J37" s="12" t="str">
        <x:f t="shared" si="1">IF(B37="","",IF(OR(D37="Closed Won",D37="Closed Lost"),"Closed",IF(OR(I37&gt;$S$7,AND(H37&lt;&gt;"",H37&lt;$S$4)),"STALE","Current")))</x:f>
      </x:c>
      <x:c r="K37" s="11"/>
      <x:c r="L37" s="11"/>
      <x:c r="M37" s="11"/>
      <x:c r="N37" s="12"/>
      <x:c r="O37" s="61" t="str">
        <x:f t="shared" si="2">IF(B37="","",E37*F37)</x:f>
      </x:c>
      <x:c r="P37" s="19"/>
      <x:c r="Q37" s="19"/>
      <x:c r="R37" s="19"/>
      <x:c r="S37" s="19"/>
    </x:row>
    <x:row r="38" ht="13.5" customHeight="1">
      <x:c r="B38" s="4"/>
      <x:c r="C38" s="4"/>
      <x:c r="D38" s="5"/>
      <x:c r="E38" s="54"/>
      <x:c r="F38" s="57" t="str">
        <x:f t="shared" si="0">IF(B38="","",IFERROR(INDEX($R$11:$R$18,MATCH(D38,$Q$11:$Q$18,0)),0))</x:f>
      </x:c>
      <x:c r="G38" s="5"/>
      <x:c r="H38" s="62"/>
      <x:c r="I38" s="65"/>
      <x:c r="J38" s="5" t="str">
        <x:f t="shared" si="1">IF(B38="","",IF(OR(D38="Closed Won",D38="Closed Lost"),"Closed",IF(OR(I38&gt;$S$7,AND(H38&lt;&gt;"",H38&lt;$S$4)),"STALE","Current")))</x:f>
      </x:c>
      <x:c r="K38" s="4"/>
      <x:c r="L38" s="4"/>
      <x:c r="M38" s="4"/>
      <x:c r="N38" s="5"/>
      <x:c r="O38" s="60" t="str">
        <x:f t="shared" si="2">IF(B38="","",E38*F38)</x:f>
      </x:c>
      <x:c r="P38" s="19"/>
      <x:c r="Q38" s="19"/>
      <x:c r="R38" s="19"/>
      <x:c r="S38" s="19"/>
    </x:row>
    <x:row r="39" ht="13.5" customHeight="1">
      <x:c r="B39" s="11"/>
      <x:c r="C39" s="11"/>
      <x:c r="D39" s="12"/>
      <x:c r="E39" s="55"/>
      <x:c r="F39" s="58" t="str">
        <x:f t="shared" si="0">IF(B39="","",IFERROR(INDEX($R$11:$R$18,MATCH(D39,$Q$11:$Q$18,0)),0))</x:f>
      </x:c>
      <x:c r="G39" s="12"/>
      <x:c r="H39" s="63"/>
      <x:c r="I39" s="66"/>
      <x:c r="J39" s="12" t="str">
        <x:f t="shared" si="1">IF(B39="","",IF(OR(D39="Closed Won",D39="Closed Lost"),"Closed",IF(OR(I39&gt;$S$7,AND(H39&lt;&gt;"",H39&lt;$S$4)),"STALE","Current")))</x:f>
      </x:c>
      <x:c r="K39" s="11"/>
      <x:c r="L39" s="11"/>
      <x:c r="M39" s="11"/>
      <x:c r="N39" s="12"/>
      <x:c r="O39" s="61" t="str">
        <x:f t="shared" si="2">IF(B39="","",E39*F39)</x:f>
      </x:c>
      <x:c r="P39" s="19"/>
      <x:c r="Q39" s="19"/>
      <x:c r="R39" s="19"/>
      <x:c r="S39" s="19"/>
    </x:row>
    <x:row r="40" ht="13.5" customHeight="1">
      <x:c r="E40" s="56"/>
      <x:c r="F40" s="59" t="str">
        <x:f>IF(B40="","",IFERROR(INDEX($R$11:$R$18,MATCH(D40,$Q$11:$Q$18,0)),0))</x:f>
      </x:c>
      <x:c r="H40" s="64"/>
      <x:c r="I40" s="67"/>
      <x:c r="J40" t="str">
        <x:f>IF(B40="","",IF(OR(D40="Closed Won",D40="Closed Lost"),"Closed",IF(OR(I40&gt;$S$7,AND(H40&lt;&gt;"",H40&lt;$S$4)),"STALE","Current")))</x:f>
      </x:c>
      <x:c r="O40" s="56" t="str">
        <x:f>IF(B40="","",E40*F40)</x:f>
      </x:c>
    </x:row>
    <x:row r="41" ht="13.5" customHeight="1">
      <x:c r="E41" s="56"/>
      <x:c r="F41" s="59" t="str">
        <x:f>IF(B41="","",IFERROR(INDEX($R$11:$R$18,MATCH(D41,$Q$11:$Q$18,0)),0))</x:f>
      </x:c>
      <x:c r="H41" s="64"/>
      <x:c r="I41" s="67"/>
      <x:c r="J41" t="str">
        <x:f>IF(B41="","",IF(OR(D41="Closed Won",D41="Closed Lost"),"Closed",IF(OR(I41&gt;$S$7,AND(H41&lt;&gt;"",H41&lt;$S$4)),"STALE","Current")))</x:f>
      </x:c>
      <x:c r="O41" s="56" t="str">
        <x:f>IF(B41="","",E41*F41)</x:f>
      </x:c>
    </x:row>
    <x:row r="42" ht="13.5" customHeight="1">
      <x:c r="E42" s="56"/>
      <x:c r="F42" s="59" t="str">
        <x:f>IF(B42="","",IFERROR(INDEX($R$11:$R$18,MATCH(D42,$Q$11:$Q$18,0)),0))</x:f>
      </x:c>
      <x:c r="H42" s="64"/>
      <x:c r="I42" s="67"/>
      <x:c r="J42" t="str">
        <x:f>IF(B42="","",IF(OR(D42="Closed Won",D42="Closed Lost"),"Closed",IF(OR(I42&gt;$S$7,AND(H42&lt;&gt;"",H42&lt;$S$4)),"STALE","Current")))</x:f>
      </x:c>
      <x:c r="O42" s="56" t="str">
        <x:f>IF(B42="","",E42*F42)</x:f>
      </x:c>
    </x:row>
    <x:row r="43" ht="13.5" customHeight="1">
      <x:c r="E43" s="56"/>
      <x:c r="F43" s="59" t="str">
        <x:f>IF(B43="","",IFERROR(INDEX($R$11:$R$18,MATCH(D43,$Q$11:$Q$18,0)),0))</x:f>
      </x:c>
      <x:c r="H43" s="64"/>
      <x:c r="I43" s="67"/>
      <x:c r="J43" t="str">
        <x:f>IF(B43="","",IF(OR(D43="Closed Won",D43="Closed Lost"),"Closed",IF(OR(I43&gt;$S$7,AND(H43&lt;&gt;"",H43&lt;$S$4)),"STALE","Current")))</x:f>
      </x:c>
      <x:c r="O43" s="56" t="str">
        <x:f>IF(B43="","",E43*F43)</x:f>
      </x:c>
    </x:row>
    <x:row r="44" ht="13.5" customHeight="1">
      <x:c r="E44" s="56"/>
      <x:c r="F44" s="59" t="str">
        <x:f>IF(B44="","",IFERROR(INDEX($R$11:$R$18,MATCH(D44,$Q$11:$Q$18,0)),0))</x:f>
      </x:c>
      <x:c r="H44" s="64"/>
      <x:c r="I44" s="67"/>
      <x:c r="J44" t="str">
        <x:f>IF(B44="","",IF(OR(D44="Closed Won",D44="Closed Lost"),"Closed",IF(OR(I44&gt;$S$7,AND(H44&lt;&gt;"",H44&lt;$S$4)),"STALE","Current")))</x:f>
      </x:c>
      <x:c r="O44" s="56" t="str">
        <x:f>IF(B44="","",E44*F44)</x:f>
      </x:c>
    </x:row>
    <x:row r="45" ht="13.5" customHeight="1">
      <x:c r="E45" s="56"/>
      <x:c r="F45" s="59" t="str">
        <x:f>IF(B45="","",IFERROR(INDEX($R$11:$R$18,MATCH(D45,$Q$11:$Q$18,0)),0))</x:f>
      </x:c>
      <x:c r="H45" s="64"/>
      <x:c r="I45" s="67"/>
      <x:c r="J45" t="str">
        <x:f>IF(B45="","",IF(OR(D45="Closed Won",D45="Closed Lost"),"Closed",IF(OR(I45&gt;$S$7,AND(H45&lt;&gt;"",H45&lt;$S$4)),"STALE","Current")))</x:f>
      </x:c>
      <x:c r="O45" s="56" t="str">
        <x:f>IF(B45="","",E45*F45)</x:f>
      </x:c>
    </x:row>
    <x:row r="46" ht="13.5" customHeight="1">
      <x:c r="E46" s="56"/>
      <x:c r="F46" s="59" t="str">
        <x:f>IF(B46="","",IFERROR(INDEX($R$11:$R$18,MATCH(D46,$Q$11:$Q$18,0)),0))</x:f>
      </x:c>
      <x:c r="H46" s="64"/>
      <x:c r="I46" s="67"/>
      <x:c r="J46" t="str">
        <x:f>IF(B46="","",IF(OR(D46="Closed Won",D46="Closed Lost"),"Closed",IF(OR(I46&gt;$S$7,AND(H46&lt;&gt;"",H46&lt;$S$4)),"STALE","Current")))</x:f>
      </x:c>
      <x:c r="O46" s="56" t="str">
        <x:f>IF(B46="","",E46*F46)</x:f>
      </x:c>
    </x:row>
    <x:row r="47" ht="13.5" customHeight="1">
      <x:c r="E47" s="56"/>
      <x:c r="F47" s="59" t="str">
        <x:f>IF(B47="","",IFERROR(INDEX($R$11:$R$18,MATCH(D47,$Q$11:$Q$18,0)),0))</x:f>
      </x:c>
      <x:c r="H47" s="64"/>
      <x:c r="I47" s="67"/>
      <x:c r="J47" t="str">
        <x:f>IF(B47="","",IF(OR(D47="Closed Won",D47="Closed Lost"),"Closed",IF(OR(I47&gt;$S$7,AND(H47&lt;&gt;"",H47&lt;$S$4)),"STALE","Current")))</x:f>
      </x:c>
      <x:c r="O47" s="56" t="str">
        <x:f>IF(B47="","",E47*F47)</x:f>
      </x:c>
    </x:row>
    <x:row r="48" ht="13.5" customHeight="1">
      <x:c r="E48" s="56"/>
      <x:c r="F48" s="59" t="str">
        <x:f>IF(B48="","",IFERROR(INDEX($R$11:$R$18,MATCH(D48,$Q$11:$Q$18,0)),0))</x:f>
      </x:c>
      <x:c r="H48" s="64"/>
      <x:c r="I48" s="67"/>
      <x:c r="J48" t="str">
        <x:f>IF(B48="","",IF(OR(D48="Closed Won",D48="Closed Lost"),"Closed",IF(OR(I48&gt;$S$7,AND(H48&lt;&gt;"",H48&lt;$S$4)),"STALE","Current")))</x:f>
      </x:c>
      <x:c r="O48" s="56" t="str">
        <x:f>IF(B48="","",E48*F48)</x:f>
      </x:c>
    </x:row>
    <x:row r="49" ht="13.5" customHeight="1">
      <x:c r="E49" s="56"/>
      <x:c r="F49" s="59" t="str">
        <x:f>IF(B49="","",IFERROR(INDEX($R$11:$R$18,MATCH(D49,$Q$11:$Q$18,0)),0))</x:f>
      </x:c>
      <x:c r="H49" s="64"/>
      <x:c r="I49" s="67"/>
      <x:c r="J49" t="str">
        <x:f>IF(B49="","",IF(OR(D49="Closed Won",D49="Closed Lost"),"Closed",IF(OR(I49&gt;$S$7,AND(H49&lt;&gt;"",H49&lt;$S$4)),"STALE","Current")))</x:f>
      </x:c>
      <x:c r="O49" s="56" t="str">
        <x:f>IF(B49="","",E49*F49)</x:f>
      </x:c>
    </x:row>
    <x:row r="50" ht="13.5" customHeight="1">
      <x:c r="E50" s="56"/>
      <x:c r="F50" s="59" t="str">
        <x:f>IF(B50="","",IFERROR(INDEX($R$11:$R$18,MATCH(D50,$Q$11:$Q$18,0)),0))</x:f>
      </x:c>
      <x:c r="H50" s="64"/>
      <x:c r="I50" s="67"/>
      <x:c r="J50" t="str">
        <x:f>IF(B50="","",IF(OR(D50="Closed Won",D50="Closed Lost"),"Closed",IF(OR(I50&gt;$S$7,AND(H50&lt;&gt;"",H50&lt;$S$4)),"STALE","Current")))</x:f>
      </x:c>
      <x:c r="O50" s="56" t="str">
        <x:f>IF(B50="","",E50*F50)</x:f>
      </x:c>
    </x:row>
    <x:row r="51" ht="13.5" customHeight="1">
      <x:c r="E51" s="56"/>
      <x:c r="F51" s="59" t="str">
        <x:f>IF(B51="","",IFERROR(INDEX($R$11:$R$18,MATCH(D51,$Q$11:$Q$18,0)),0))</x:f>
      </x:c>
      <x:c r="H51" s="64"/>
      <x:c r="I51" s="67"/>
      <x:c r="J51" t="str">
        <x:f>IF(B51="","",IF(OR(D51="Closed Won",D51="Closed Lost"),"Closed",IF(OR(I51&gt;$S$7,AND(H51&lt;&gt;"",H51&lt;$S$4)),"STALE","Current")))</x:f>
      </x:c>
      <x:c r="O51" s="56" t="str">
        <x:f>IF(B51="","",E51*F51)</x:f>
      </x:c>
    </x:row>
    <x:row r="52" ht="13.5" customHeight="1">
      <x:c r="E52" s="56"/>
      <x:c r="F52" s="59" t="str">
        <x:f>IF(B52="","",IFERROR(INDEX($R$11:$R$18,MATCH(D52,$Q$11:$Q$18,0)),0))</x:f>
      </x:c>
      <x:c r="H52" s="64"/>
      <x:c r="I52" s="67"/>
      <x:c r="J52" t="str">
        <x:f>IF(B52="","",IF(OR(D52="Closed Won",D52="Closed Lost"),"Closed",IF(OR(I52&gt;$S$7,AND(H52&lt;&gt;"",H52&lt;$S$4)),"STALE","Current")))</x:f>
      </x:c>
      <x:c r="O52" s="56" t="str">
        <x:f>IF(B52="","",E52*F52)</x:f>
      </x:c>
    </x:row>
    <x:row r="53" ht="13.5" customHeight="1">
      <x:c r="E53" s="56"/>
      <x:c r="F53" s="59" t="str">
        <x:f>IF(B53="","",IFERROR(INDEX($R$11:$R$18,MATCH(D53,$Q$11:$Q$18,0)),0))</x:f>
      </x:c>
      <x:c r="H53" s="64"/>
      <x:c r="I53" s="67"/>
      <x:c r="J53" t="str">
        <x:f>IF(B53="","",IF(OR(D53="Closed Won",D53="Closed Lost"),"Closed",IF(OR(I53&gt;$S$7,AND(H53&lt;&gt;"",H53&lt;$S$4)),"STALE","Current")))</x:f>
      </x:c>
      <x:c r="O53" s="56" t="str">
        <x:f>IF(B53="","",E53*F53)</x:f>
      </x:c>
    </x:row>
    <x:row r="54" ht="13.5" customHeight="1">
      <x:c r="E54" s="56"/>
      <x:c r="F54" s="59" t="str">
        <x:f>IF(B54="","",IFERROR(INDEX($R$11:$R$18,MATCH(D54,$Q$11:$Q$18,0)),0))</x:f>
      </x:c>
      <x:c r="H54" s="64"/>
      <x:c r="I54" s="67"/>
      <x:c r="J54" t="str">
        <x:f>IF(B54="","",IF(OR(D54="Closed Won",D54="Closed Lost"),"Closed",IF(OR(I54&gt;$S$7,AND(H54&lt;&gt;"",H54&lt;$S$4)),"STALE","Current")))</x:f>
      </x:c>
      <x:c r="O54" s="56" t="str">
        <x:f>IF(B54="","",E54*F54)</x:f>
      </x:c>
    </x:row>
    <x:row r="55" ht="13.5" customHeight="1">
      <x:c r="E55" s="56"/>
      <x:c r="F55" s="59" t="str">
        <x:f>IF(B55="","",IFERROR(INDEX($R$11:$R$18,MATCH(D55,$Q$11:$Q$18,0)),0))</x:f>
      </x:c>
      <x:c r="H55" s="64"/>
      <x:c r="I55" s="67"/>
      <x:c r="J55" t="str">
        <x:f>IF(B55="","",IF(OR(D55="Closed Won",D55="Closed Lost"),"Closed",IF(OR(I55&gt;$S$7,AND(H55&lt;&gt;"",H55&lt;$S$4)),"STALE","Current")))</x:f>
      </x:c>
      <x:c r="O55" s="56" t="str">
        <x:f>IF(B55="","",E55*F55)</x:f>
      </x:c>
    </x:row>
    <x:row r="56" ht="13.5" customHeight="1">
      <x:c r="E56" s="56"/>
      <x:c r="F56" s="59" t="str">
        <x:f>IF(B56="","",IFERROR(INDEX($R$11:$R$18,MATCH(D56,$Q$11:$Q$18,0)),0))</x:f>
      </x:c>
      <x:c r="H56" s="64"/>
      <x:c r="I56" s="67"/>
      <x:c r="J56" t="str">
        <x:f>IF(B56="","",IF(OR(D56="Closed Won",D56="Closed Lost"),"Closed",IF(OR(I56&gt;$S$7,AND(H56&lt;&gt;"",H56&lt;$S$4)),"STALE","Current")))</x:f>
      </x:c>
      <x:c r="O56" s="56" t="str">
        <x:f>IF(B56="","",E56*F56)</x:f>
      </x:c>
    </x:row>
    <x:row r="57" ht="13.5" customHeight="1">
      <x:c r="E57" s="56"/>
      <x:c r="F57" s="59" t="str">
        <x:f>IF(B57="","",IFERROR(INDEX($R$11:$R$18,MATCH(D57,$Q$11:$Q$18,0)),0))</x:f>
      </x:c>
      <x:c r="H57" s="64"/>
      <x:c r="I57" s="67"/>
      <x:c r="J57" t="str">
        <x:f>IF(B57="","",IF(OR(D57="Closed Won",D57="Closed Lost"),"Closed",IF(OR(I57&gt;$S$7,AND(H57&lt;&gt;"",H57&lt;$S$4)),"STALE","Current")))</x:f>
      </x:c>
      <x:c r="O57" s="56" t="str">
        <x:f>IF(B57="","",E57*F57)</x:f>
      </x:c>
    </x:row>
    <x:row r="58" ht="13.5" customHeight="1">
      <x:c r="E58" s="56"/>
      <x:c r="F58" s="59" t="str">
        <x:f>IF(B58="","",IFERROR(INDEX($R$11:$R$18,MATCH(D58,$Q$11:$Q$18,0)),0))</x:f>
      </x:c>
      <x:c r="H58" s="64"/>
      <x:c r="I58" s="67"/>
      <x:c r="J58" t="str">
        <x:f>IF(B58="","",IF(OR(D58="Closed Won",D58="Closed Lost"),"Closed",IF(OR(I58&gt;$S$7,AND(H58&lt;&gt;"",H58&lt;$S$4)),"STALE","Current")))</x:f>
      </x:c>
      <x:c r="O58" s="56" t="str">
        <x:f>IF(B58="","",E58*F58)</x:f>
      </x:c>
    </x:row>
    <x:row r="59" ht="13.5" customHeight="1">
      <x:c r="E59" s="56"/>
      <x:c r="F59" s="59" t="str">
        <x:f>IF(B59="","",IFERROR(INDEX($R$11:$R$18,MATCH(D59,$Q$11:$Q$18,0)),0))</x:f>
      </x:c>
      <x:c r="H59" s="64"/>
      <x:c r="I59" s="67"/>
      <x:c r="J59" t="str">
        <x:f>IF(B59="","",IF(OR(D59="Closed Won",D59="Closed Lost"),"Closed",IF(OR(I59&gt;$S$7,AND(H59&lt;&gt;"",H59&lt;$S$4)),"STALE","Current")))</x:f>
      </x:c>
      <x:c r="O59" s="56" t="str">
        <x:f>IF(B59="","",E59*F59)</x:f>
      </x:c>
    </x:row>
    <x:row r="60" ht="13.5" customHeight="1">
      <x:c r="E60" s="56"/>
      <x:c r="F60" s="59" t="str">
        <x:f>IF(B60="","",IFERROR(INDEX($R$11:$R$18,MATCH(D60,$Q$11:$Q$18,0)),0))</x:f>
      </x:c>
      <x:c r="H60" s="64"/>
      <x:c r="I60" s="67"/>
      <x:c r="J60" t="str">
        <x:f>IF(B60="","",IF(OR(D60="Closed Won",D60="Closed Lost"),"Closed",IF(OR(I60&gt;$S$7,AND(H60&lt;&gt;"",H60&lt;$S$4)),"STALE","Current")))</x:f>
      </x:c>
      <x:c r="O60" s="56" t="str">
        <x:f>IF(B60="","",E60*F60)</x:f>
      </x:c>
    </x:row>
    <x:row r="61" ht="13.5" customHeight="1">
      <x:c r="E61" s="56"/>
      <x:c r="F61" s="59" t="str">
        <x:f>IF(B61="","",IFERROR(INDEX($R$11:$R$18,MATCH(D61,$Q$11:$Q$18,0)),0))</x:f>
      </x:c>
      <x:c r="H61" s="64"/>
      <x:c r="I61" s="67"/>
      <x:c r="J61" t="str">
        <x:f>IF(B61="","",IF(OR(D61="Closed Won",D61="Closed Lost"),"Closed",IF(OR(I61&gt;$S$7,AND(H61&lt;&gt;"",H61&lt;$S$4)),"STALE","Current")))</x:f>
      </x:c>
      <x:c r="O61" s="56" t="str">
        <x:f>IF(B61="","",E61*F61)</x:f>
      </x:c>
    </x:row>
    <x:row r="62" ht="13.5" customHeight="1">
      <x:c r="E62" s="56"/>
      <x:c r="F62" s="59" t="str">
        <x:f>IF(B62="","",IFERROR(INDEX($R$11:$R$18,MATCH(D62,$Q$11:$Q$18,0)),0))</x:f>
      </x:c>
      <x:c r="H62" s="64"/>
      <x:c r="I62" s="67"/>
      <x:c r="J62" t="str">
        <x:f>IF(B62="","",IF(OR(D62="Closed Won",D62="Closed Lost"),"Closed",IF(OR(I62&gt;$S$7,AND(H62&lt;&gt;"",H62&lt;$S$4)),"STALE","Current")))</x:f>
      </x:c>
      <x:c r="O62" s="56" t="str">
        <x:f>IF(B62="","",E62*F62)</x:f>
      </x:c>
    </x:row>
    <x:row r="63" ht="13.5" customHeight="1">
      <x:c r="E63" s="56"/>
      <x:c r="F63" s="59" t="str">
        <x:f>IF(B63="","",IFERROR(INDEX($R$11:$R$18,MATCH(D63,$Q$11:$Q$18,0)),0))</x:f>
      </x:c>
      <x:c r="H63" s="64"/>
      <x:c r="I63" s="67"/>
      <x:c r="J63" t="str">
        <x:f>IF(B63="","",IF(OR(D63="Closed Won",D63="Closed Lost"),"Closed",IF(OR(I63&gt;$S$7,AND(H63&lt;&gt;"",H63&lt;$S$4)),"STALE","Current")))</x:f>
      </x:c>
      <x:c r="O63" s="56" t="str">
        <x:f>IF(B63="","",E63*F63)</x:f>
      </x:c>
    </x:row>
    <x:row r="64" ht="13.5" customHeight="1">
      <x:c r="E64" s="56"/>
      <x:c r="F64" s="59" t="str">
        <x:f>IF(B64="","",IFERROR(INDEX($R$11:$R$18,MATCH(D64,$Q$11:$Q$18,0)),0))</x:f>
      </x:c>
      <x:c r="H64" s="64"/>
      <x:c r="I64" s="67"/>
      <x:c r="J64" t="str">
        <x:f>IF(B64="","",IF(OR(D64="Closed Won",D64="Closed Lost"),"Closed",IF(OR(I64&gt;$S$7,AND(H64&lt;&gt;"",H64&lt;$S$4)),"STALE","Current")))</x:f>
      </x:c>
      <x:c r="O64" s="56" t="str">
        <x:f>IF(B64="","",E64*F64)</x:f>
      </x:c>
    </x:row>
    <x:row r="65" ht="13.5" customHeight="1">
      <x:c r="E65" s="56"/>
      <x:c r="F65" s="59" t="str">
        <x:f>IF(B65="","",IFERROR(INDEX($R$11:$R$18,MATCH(D65,$Q$11:$Q$18,0)),0))</x:f>
      </x:c>
      <x:c r="H65" s="64"/>
      <x:c r="I65" s="67"/>
      <x:c r="J65" t="str">
        <x:f>IF(B65="","",IF(OR(D65="Closed Won",D65="Closed Lost"),"Closed",IF(OR(I65&gt;$S$7,AND(H65&lt;&gt;"",H65&lt;$S$4)),"STALE","Current")))</x:f>
      </x:c>
      <x:c r="O65" s="56" t="str">
        <x:f>IF(B65="","",E65*F65)</x:f>
      </x:c>
    </x:row>
    <x:row r="66" ht="13.5" customHeight="1">
      <x:c r="E66" s="56"/>
      <x:c r="F66" s="59" t="str">
        <x:f>IF(B66="","",IFERROR(INDEX($R$11:$R$18,MATCH(D66,$Q$11:$Q$18,0)),0))</x:f>
      </x:c>
      <x:c r="H66" s="64"/>
      <x:c r="I66" s="67"/>
      <x:c r="J66" t="str">
        <x:f>IF(B66="","",IF(OR(D66="Closed Won",D66="Closed Lost"),"Closed",IF(OR(I66&gt;$S$7,AND(H66&lt;&gt;"",H66&lt;$S$4)),"STALE","Current")))</x:f>
      </x:c>
      <x:c r="O66" s="56" t="str">
        <x:f>IF(B66="","",E66*F66)</x:f>
      </x:c>
    </x:row>
    <x:row r="67" ht="13.5" customHeight="1">
      <x:c r="E67" s="56"/>
      <x:c r="F67" s="59" t="str">
        <x:f>IF(B67="","",IFERROR(INDEX($R$11:$R$18,MATCH(D67,$Q$11:$Q$18,0)),0))</x:f>
      </x:c>
      <x:c r="H67" s="64"/>
      <x:c r="I67" s="67"/>
      <x:c r="J67" t="str">
        <x:f>IF(B67="","",IF(OR(D67="Closed Won",D67="Closed Lost"),"Closed",IF(OR(I67&gt;$S$7,AND(H67&lt;&gt;"",H67&lt;$S$4)),"STALE","Current")))</x:f>
      </x:c>
      <x:c r="O67" s="56" t="str">
        <x:f>IF(B67="","",E67*F67)</x:f>
      </x:c>
    </x:row>
    <x:row r="68" ht="13.5" customHeight="1">
      <x:c r="E68" s="56"/>
      <x:c r="F68" s="59" t="str">
        <x:f>IF(B68="","",IFERROR(INDEX($R$11:$R$18,MATCH(D68,$Q$11:$Q$18,0)),0))</x:f>
      </x:c>
      <x:c r="H68" s="64"/>
      <x:c r="I68" s="67"/>
      <x:c r="J68" t="str">
        <x:f>IF(B68="","",IF(OR(D68="Closed Won",D68="Closed Lost"),"Closed",IF(OR(I68&gt;$S$7,AND(H68&lt;&gt;"",H68&lt;$S$4)),"STALE","Current")))</x:f>
      </x:c>
      <x:c r="O68" s="56" t="str">
        <x:f>IF(B68="","",E68*F68)</x:f>
      </x:c>
    </x:row>
    <x:row r="69" ht="13.5" customHeight="1">
      <x:c r="E69" s="56"/>
      <x:c r="F69" s="59" t="str">
        <x:f>IF(B69="","",IFERROR(INDEX($R$11:$R$18,MATCH(D69,$Q$11:$Q$18,0)),0))</x:f>
      </x:c>
      <x:c r="H69" s="64"/>
      <x:c r="I69" s="67"/>
      <x:c r="J69" t="str">
        <x:f>IF(B69="","",IF(OR(D69="Closed Won",D69="Closed Lost"),"Closed",IF(OR(I69&gt;$S$7,AND(H69&lt;&gt;"",H69&lt;$S$4)),"STALE","Current")))</x:f>
      </x:c>
      <x:c r="O69" s="56" t="str">
        <x:f>IF(B69="","",E69*F69)</x:f>
      </x:c>
    </x:row>
    <x:row r="70" ht="13.5" customHeight="1">
      <x:c r="E70" s="56"/>
      <x:c r="F70" s="59" t="str">
        <x:f>IF(B70="","",IFERROR(INDEX($R$11:$R$18,MATCH(D70,$Q$11:$Q$18,0)),0))</x:f>
      </x:c>
      <x:c r="H70" s="64"/>
      <x:c r="I70" s="67"/>
      <x:c r="J70" t="str">
        <x:f>IF(B70="","",IF(OR(D70="Closed Won",D70="Closed Lost"),"Closed",IF(OR(I70&gt;$S$7,AND(H70&lt;&gt;"",H70&lt;$S$4)),"STALE","Current")))</x:f>
      </x:c>
      <x:c r="O70" s="56" t="str">
        <x:f>IF(B70="","",E70*F70)</x:f>
      </x:c>
    </x:row>
    <x:row r="71" ht="13.5" customHeight="1">
      <x:c r="E71" s="56"/>
      <x:c r="F71" s="59" t="str">
        <x:f>IF(B71="","",IFERROR(INDEX($R$11:$R$18,MATCH(D71,$Q$11:$Q$18,0)),0))</x:f>
      </x:c>
      <x:c r="H71" s="64"/>
      <x:c r="I71" s="67"/>
      <x:c r="J71" t="str">
        <x:f>IF(B71="","",IF(OR(D71="Closed Won",D71="Closed Lost"),"Closed",IF(OR(I71&gt;$S$7,AND(H71&lt;&gt;"",H71&lt;$S$4)),"STALE","Current")))</x:f>
      </x:c>
      <x:c r="O71" s="56" t="str">
        <x:f>IF(B71="","",E71*F71)</x:f>
      </x:c>
    </x:row>
    <x:row r="72" ht="13.5" customHeight="1">
      <x:c r="E72" s="56"/>
      <x:c r="F72" s="59" t="str">
        <x:f>IF(B72="","",IFERROR(INDEX($R$11:$R$18,MATCH(D72,$Q$11:$Q$18,0)),0))</x:f>
      </x:c>
      <x:c r="H72" s="64"/>
      <x:c r="I72" s="67"/>
      <x:c r="J72" t="str">
        <x:f>IF(B72="","",IF(OR(D72="Closed Won",D72="Closed Lost"),"Closed",IF(OR(I72&gt;$S$7,AND(H72&lt;&gt;"",H72&lt;$S$4)),"STALE","Current")))</x:f>
      </x:c>
      <x:c r="O72" s="56" t="str">
        <x:f>IF(B72="","",E72*F72)</x:f>
      </x:c>
    </x:row>
    <x:row r="73" ht="13.5" customHeight="1">
      <x:c r="E73" s="56"/>
      <x:c r="F73" s="59" t="str">
        <x:f>IF(B73="","",IFERROR(INDEX($R$11:$R$18,MATCH(D73,$Q$11:$Q$18,0)),0))</x:f>
      </x:c>
      <x:c r="H73" s="64"/>
      <x:c r="I73" s="67"/>
      <x:c r="J73" t="str">
        <x:f>IF(B73="","",IF(OR(D73="Closed Won",D73="Closed Lost"),"Closed",IF(OR(I73&gt;$S$7,AND(H73&lt;&gt;"",H73&lt;$S$4)),"STALE","Current")))</x:f>
      </x:c>
      <x:c r="O73" s="56" t="str">
        <x:f>IF(B73="","",E73*F73)</x:f>
      </x:c>
    </x:row>
    <x:row r="74" ht="13.5" customHeight="1">
      <x:c r="E74" s="56"/>
      <x:c r="F74" s="59" t="str">
        <x:f>IF(B74="","",IFERROR(INDEX($R$11:$R$18,MATCH(D74,$Q$11:$Q$18,0)),0))</x:f>
      </x:c>
      <x:c r="H74" s="64"/>
      <x:c r="I74" s="67"/>
      <x:c r="J74" t="str">
        <x:f>IF(B74="","",IF(OR(D74="Closed Won",D74="Closed Lost"),"Closed",IF(OR(I74&gt;$S$7,AND(H74&lt;&gt;"",H74&lt;$S$4)),"STALE","Current")))</x:f>
      </x:c>
      <x:c r="O74" s="56" t="str">
        <x:f>IF(B74="","",E74*F74)</x:f>
      </x:c>
    </x:row>
    <x:row r="75" ht="13.5" customHeight="1">
      <x:c r="E75" s="56"/>
      <x:c r="F75" s="59" t="str">
        <x:f>IF(B75="","",IFERROR(INDEX($R$11:$R$18,MATCH(D75,$Q$11:$Q$18,0)),0))</x:f>
      </x:c>
      <x:c r="H75" s="64"/>
      <x:c r="I75" s="67"/>
      <x:c r="J75" t="str">
        <x:f>IF(B75="","",IF(OR(D75="Closed Won",D75="Closed Lost"),"Closed",IF(OR(I75&gt;$S$7,AND(H75&lt;&gt;"",H75&lt;$S$4)),"STALE","Current")))</x:f>
      </x:c>
      <x:c r="O75" s="56" t="str">
        <x:f>IF(B75="","",E75*F75)</x:f>
      </x:c>
    </x:row>
    <x:row r="76" ht="13.5" customHeight="1">
      <x:c r="E76" s="56"/>
      <x:c r="F76" s="59" t="str">
        <x:f>IF(B76="","",IFERROR(INDEX($R$11:$R$18,MATCH(D76,$Q$11:$Q$18,0)),0))</x:f>
      </x:c>
      <x:c r="H76" s="64"/>
      <x:c r="I76" s="67"/>
      <x:c r="J76" t="str">
        <x:f>IF(B76="","",IF(OR(D76="Closed Won",D76="Closed Lost"),"Closed",IF(OR(I76&gt;$S$7,AND(H76&lt;&gt;"",H76&lt;$S$4)),"STALE","Current")))</x:f>
      </x:c>
      <x:c r="O76" s="56" t="str">
        <x:f>IF(B76="","",E76*F76)</x:f>
      </x:c>
    </x:row>
    <x:row r="77" ht="13.5" customHeight="1">
      <x:c r="E77" s="56"/>
      <x:c r="F77" s="59" t="str">
        <x:f>IF(B77="","",IFERROR(INDEX($R$11:$R$18,MATCH(D77,$Q$11:$Q$18,0)),0))</x:f>
      </x:c>
      <x:c r="H77" s="64"/>
      <x:c r="I77" s="67"/>
      <x:c r="J77" t="str">
        <x:f>IF(B77="","",IF(OR(D77="Closed Won",D77="Closed Lost"),"Closed",IF(OR(I77&gt;$S$7,AND(H77&lt;&gt;"",H77&lt;$S$4)),"STALE","Current")))</x:f>
      </x:c>
      <x:c r="O77" s="56" t="str">
        <x:f>IF(B77="","",E77*F77)</x:f>
      </x:c>
    </x:row>
    <x:row r="78" ht="13.5" customHeight="1">
      <x:c r="E78" s="56"/>
      <x:c r="F78" s="59" t="str">
        <x:f>IF(B78="","",IFERROR(INDEX($R$11:$R$18,MATCH(D78,$Q$11:$Q$18,0)),0))</x:f>
      </x:c>
      <x:c r="H78" s="64"/>
      <x:c r="I78" s="67"/>
      <x:c r="J78" t="str">
        <x:f>IF(B78="","",IF(OR(D78="Closed Won",D78="Closed Lost"),"Closed",IF(OR(I78&gt;$S$7,AND(H78&lt;&gt;"",H78&lt;$S$4)),"STALE","Current")))</x:f>
      </x:c>
      <x:c r="O78" s="56" t="str">
        <x:f>IF(B78="","",E78*F78)</x:f>
      </x:c>
    </x:row>
    <x:row r="79" ht="13.5" customHeight="1">
      <x:c r="E79" s="56"/>
      <x:c r="F79" s="59" t="str">
        <x:f>IF(B79="","",IFERROR(INDEX($R$11:$R$18,MATCH(D79,$Q$11:$Q$18,0)),0))</x:f>
      </x:c>
      <x:c r="H79" s="64"/>
      <x:c r="I79" s="67"/>
      <x:c r="J79" t="str">
        <x:f>IF(B79="","",IF(OR(D79="Closed Won",D79="Closed Lost"),"Closed",IF(OR(I79&gt;$S$7,AND(H79&lt;&gt;"",H79&lt;$S$4)),"STALE","Current")))</x:f>
      </x:c>
      <x:c r="O79" s="56" t="str">
        <x:f>IF(B79="","",E79*F79)</x:f>
      </x:c>
    </x:row>
    <x:row r="80" ht="13.5" customHeight="1">
      <x:c r="E80" s="56"/>
      <x:c r="F80" s="59" t="str">
        <x:f>IF(B80="","",IFERROR(INDEX($R$11:$R$18,MATCH(D80,$Q$11:$Q$18,0)),0))</x:f>
      </x:c>
      <x:c r="H80" s="64"/>
      <x:c r="I80" s="67"/>
      <x:c r="J80" t="str">
        <x:f>IF(B80="","",IF(OR(D80="Closed Won",D80="Closed Lost"),"Closed",IF(OR(I80&gt;$S$7,AND(H80&lt;&gt;"",H80&lt;$S$4)),"STALE","Current")))</x:f>
      </x:c>
      <x:c r="O80" s="56" t="str">
        <x:f>IF(B80="","",E80*F80)</x:f>
      </x:c>
    </x:row>
    <x:row r="81" ht="13.5" customHeight="1">
      <x:c r="E81" s="56"/>
      <x:c r="F81" s="59" t="str">
        <x:f>IF(B81="","",IFERROR(INDEX($R$11:$R$18,MATCH(D81,$Q$11:$Q$18,0)),0))</x:f>
      </x:c>
      <x:c r="H81" s="64"/>
      <x:c r="I81" s="67"/>
      <x:c r="J81" t="str">
        <x:f>IF(B81="","",IF(OR(D81="Closed Won",D81="Closed Lost"),"Closed",IF(OR(I81&gt;$S$7,AND(H81&lt;&gt;"",H81&lt;$S$4)),"STALE","Current")))</x:f>
      </x:c>
      <x:c r="O81" s="56" t="str">
        <x:f>IF(B81="","",E81*F81)</x:f>
      </x:c>
    </x:row>
    <x:row r="82" ht="13.5" customHeight="1">
      <x:c r="E82" s="56"/>
      <x:c r="F82" s="59" t="str">
        <x:f>IF(B82="","",IFERROR(INDEX($R$11:$R$18,MATCH(D82,$Q$11:$Q$18,0)),0))</x:f>
      </x:c>
      <x:c r="H82" s="64"/>
      <x:c r="I82" s="67"/>
      <x:c r="J82" t="str">
        <x:f>IF(B82="","",IF(OR(D82="Closed Won",D82="Closed Lost"),"Closed",IF(OR(I82&gt;$S$7,AND(H82&lt;&gt;"",H82&lt;$S$4)),"STALE","Current")))</x:f>
      </x:c>
      <x:c r="O82" s="56" t="str">
        <x:f>IF(B82="","",E82*F82)</x:f>
      </x:c>
    </x:row>
    <x:row r="83" ht="13.5" customHeight="1">
      <x:c r="E83" s="56"/>
      <x:c r="F83" s="59" t="str">
        <x:f>IF(B83="","",IFERROR(INDEX($R$11:$R$18,MATCH(D83,$Q$11:$Q$18,0)),0))</x:f>
      </x:c>
      <x:c r="H83" s="64"/>
      <x:c r="I83" s="67"/>
      <x:c r="J83" t="str">
        <x:f>IF(B83="","",IF(OR(D83="Closed Won",D83="Closed Lost"),"Closed",IF(OR(I83&gt;$S$7,AND(H83&lt;&gt;"",H83&lt;$S$4)),"STALE","Current")))</x:f>
      </x:c>
      <x:c r="O83" s="56" t="str">
        <x:f>IF(B83="","",E83*F83)</x:f>
      </x:c>
    </x:row>
    <x:row r="84" ht="13.5" customHeight="1">
      <x:c r="E84" s="56"/>
      <x:c r="F84" s="59" t="str">
        <x:f>IF(B84="","",IFERROR(INDEX($R$11:$R$18,MATCH(D84,$Q$11:$Q$18,0)),0))</x:f>
      </x:c>
      <x:c r="H84" s="64"/>
      <x:c r="I84" s="67"/>
      <x:c r="J84" t="str">
        <x:f>IF(B84="","",IF(OR(D84="Closed Won",D84="Closed Lost"),"Closed",IF(OR(I84&gt;$S$7,AND(H84&lt;&gt;"",H84&lt;$S$4)),"STALE","Current")))</x:f>
      </x:c>
      <x:c r="O84" s="56" t="str">
        <x:f>IF(B84="","",E84*F84)</x:f>
      </x:c>
    </x:row>
    <x:row r="85" ht="13.5" customHeight="1">
      <x:c r="E85" s="56"/>
      <x:c r="F85" s="59" t="str">
        <x:f>IF(B85="","",IFERROR(INDEX($R$11:$R$18,MATCH(D85,$Q$11:$Q$18,0)),0))</x:f>
      </x:c>
      <x:c r="H85" s="64"/>
      <x:c r="I85" s="67"/>
      <x:c r="J85" t="str">
        <x:f>IF(B85="","",IF(OR(D85="Closed Won",D85="Closed Lost"),"Closed",IF(OR(I85&gt;$S$7,AND(H85&lt;&gt;"",H85&lt;$S$4)),"STALE","Current")))</x:f>
      </x:c>
      <x:c r="O85" s="56" t="str">
        <x:f>IF(B85="","",E85*F85)</x:f>
      </x:c>
    </x:row>
    <x:row r="86" ht="13.5" customHeight="1">
      <x:c r="E86" s="56"/>
      <x:c r="F86" s="59" t="str">
        <x:f>IF(B86="","",IFERROR(INDEX($R$11:$R$18,MATCH(D86,$Q$11:$Q$18,0)),0))</x:f>
      </x:c>
      <x:c r="H86" s="64"/>
      <x:c r="I86" s="67"/>
      <x:c r="J86" t="str">
        <x:f>IF(B86="","",IF(OR(D86="Closed Won",D86="Closed Lost"),"Closed",IF(OR(I86&gt;$S$7,AND(H86&lt;&gt;"",H86&lt;$S$4)),"STALE","Current")))</x:f>
      </x:c>
      <x:c r="O86" s="56" t="str">
        <x:f>IF(B86="","",E86*F86)</x:f>
      </x:c>
    </x:row>
    <x:row r="87" ht="13.5" customHeight="1">
      <x:c r="E87" s="56"/>
      <x:c r="F87" s="59" t="str">
        <x:f>IF(B87="","",IFERROR(INDEX($R$11:$R$18,MATCH(D87,$Q$11:$Q$18,0)),0))</x:f>
      </x:c>
      <x:c r="H87" s="64"/>
      <x:c r="I87" s="67"/>
      <x:c r="J87" t="str">
        <x:f>IF(B87="","",IF(OR(D87="Closed Won",D87="Closed Lost"),"Closed",IF(OR(I87&gt;$S$7,AND(H87&lt;&gt;"",H87&lt;$S$4)),"STALE","Current")))</x:f>
      </x:c>
      <x:c r="O87" s="56" t="str">
        <x:f>IF(B87="","",E87*F87)</x:f>
      </x:c>
    </x:row>
    <x:row r="88" ht="13.5" customHeight="1">
      <x:c r="E88" s="56"/>
      <x:c r="F88" s="59" t="str">
        <x:f>IF(B88="","",IFERROR(INDEX($R$11:$R$18,MATCH(D88,$Q$11:$Q$18,0)),0))</x:f>
      </x:c>
      <x:c r="H88" s="64"/>
      <x:c r="I88" s="67"/>
      <x:c r="J88" t="str">
        <x:f>IF(B88="","",IF(OR(D88="Closed Won",D88="Closed Lost"),"Closed",IF(OR(I88&gt;$S$7,AND(H88&lt;&gt;"",H88&lt;$S$4)),"STALE","Current")))</x:f>
      </x:c>
      <x:c r="O88" s="56" t="str">
        <x:f>IF(B88="","",E88*F88)</x:f>
      </x:c>
    </x:row>
    <x:row r="89" ht="13.5" customHeight="1">
      <x:c r="E89" s="56"/>
      <x:c r="F89" s="59" t="str">
        <x:f>IF(B89="","",IFERROR(INDEX($R$11:$R$18,MATCH(D89,$Q$11:$Q$18,0)),0))</x:f>
      </x:c>
      <x:c r="H89" s="64"/>
      <x:c r="I89" s="67"/>
      <x:c r="J89" t="str">
        <x:f>IF(B89="","",IF(OR(D89="Closed Won",D89="Closed Lost"),"Closed",IF(OR(I89&gt;$S$7,AND(H89&lt;&gt;"",H89&lt;$S$4)),"STALE","Current")))</x:f>
      </x:c>
      <x:c r="O89" s="56" t="str">
        <x:f>IF(B89="","",E89*F89)</x:f>
      </x:c>
    </x:row>
    <x:row r="90" ht="13.5" customHeight="1">
      <x:c r="E90" s="56"/>
      <x:c r="F90" s="59" t="str">
        <x:f>IF(B90="","",IFERROR(INDEX($R$11:$R$18,MATCH(D90,$Q$11:$Q$18,0)),0))</x:f>
      </x:c>
      <x:c r="H90" s="64"/>
      <x:c r="I90" s="67"/>
      <x:c r="J90" t="str">
        <x:f>IF(B90="","",IF(OR(D90="Closed Won",D90="Closed Lost"),"Closed",IF(OR(I90&gt;$S$7,AND(H90&lt;&gt;"",H90&lt;$S$4)),"STALE","Current")))</x:f>
      </x:c>
      <x:c r="O90" s="56" t="str">
        <x:f>IF(B90="","",E90*F90)</x:f>
      </x:c>
    </x:row>
    <x:row r="91" ht="13.5" customHeight="1">
      <x:c r="E91" s="56"/>
      <x:c r="F91" s="59" t="str">
        <x:f>IF(B91="","",IFERROR(INDEX($R$11:$R$18,MATCH(D91,$Q$11:$Q$18,0)),0))</x:f>
      </x:c>
      <x:c r="H91" s="64"/>
      <x:c r="I91" s="67"/>
      <x:c r="J91" t="str">
        <x:f>IF(B91="","",IF(OR(D91="Closed Won",D91="Closed Lost"),"Closed",IF(OR(I91&gt;$S$7,AND(H91&lt;&gt;"",H91&lt;$S$4)),"STALE","Current")))</x:f>
      </x:c>
      <x:c r="O91" s="56" t="str">
        <x:f>IF(B91="","",E91*F91)</x:f>
      </x:c>
    </x:row>
    <x:row r="92" ht="13.5" customHeight="1">
      <x:c r="E92" s="56"/>
      <x:c r="F92" s="59" t="str">
        <x:f>IF(B92="","",IFERROR(INDEX($R$11:$R$18,MATCH(D92,$Q$11:$Q$18,0)),0))</x:f>
      </x:c>
      <x:c r="H92" s="64"/>
      <x:c r="I92" s="67"/>
      <x:c r="J92" t="str">
        <x:f>IF(B92="","",IF(OR(D92="Closed Won",D92="Closed Lost"),"Closed",IF(OR(I92&gt;$S$7,AND(H92&lt;&gt;"",H92&lt;$S$4)),"STALE","Current")))</x:f>
      </x:c>
      <x:c r="O92" s="56" t="str">
        <x:f>IF(B92="","",E92*F92)</x:f>
      </x:c>
    </x:row>
    <x:row r="93" ht="13.5" customHeight="1">
      <x:c r="E93" s="56"/>
      <x:c r="F93" s="59" t="str">
        <x:f>IF(B93="","",IFERROR(INDEX($R$11:$R$18,MATCH(D93,$Q$11:$Q$18,0)),0))</x:f>
      </x:c>
      <x:c r="H93" s="64"/>
      <x:c r="I93" s="67"/>
      <x:c r="J93" t="str">
        <x:f>IF(B93="","",IF(OR(D93="Closed Won",D93="Closed Lost"),"Closed",IF(OR(I93&gt;$S$7,AND(H93&lt;&gt;"",H93&lt;$S$4)),"STALE","Current")))</x:f>
      </x:c>
      <x:c r="O93" s="56" t="str">
        <x:f>IF(B93="","",E93*F93)</x:f>
      </x:c>
    </x:row>
    <x:row r="94" ht="13.5" customHeight="1">
      <x:c r="E94" s="56"/>
      <x:c r="F94" s="59" t="str">
        <x:f>IF(B94="","",IFERROR(INDEX($R$11:$R$18,MATCH(D94,$Q$11:$Q$18,0)),0))</x:f>
      </x:c>
      <x:c r="H94" s="64"/>
      <x:c r="I94" s="67"/>
      <x:c r="J94" t="str">
        <x:f>IF(B94="","",IF(OR(D94="Closed Won",D94="Closed Lost"),"Closed",IF(OR(I94&gt;$S$7,AND(H94&lt;&gt;"",H94&lt;$S$4)),"STALE","Current")))</x:f>
      </x:c>
      <x:c r="O94" s="56" t="str">
        <x:f>IF(B94="","",E94*F94)</x:f>
      </x:c>
    </x:row>
    <x:row r="95" ht="13.5" customHeight="1">
      <x:c r="E95" s="56"/>
      <x:c r="F95" s="59" t="str">
        <x:f>IF(B95="","",IFERROR(INDEX($R$11:$R$18,MATCH(D95,$Q$11:$Q$18,0)),0))</x:f>
      </x:c>
      <x:c r="H95" s="64"/>
      <x:c r="I95" s="67"/>
      <x:c r="J95" t="str">
        <x:f>IF(B95="","",IF(OR(D95="Closed Won",D95="Closed Lost"),"Closed",IF(OR(I95&gt;$S$7,AND(H95&lt;&gt;"",H95&lt;$S$4)),"STALE","Current")))</x:f>
      </x:c>
      <x:c r="O95" s="56" t="str">
        <x:f>IF(B95="","",E95*F95)</x:f>
      </x:c>
    </x:row>
    <x:row r="96" ht="13.5" customHeight="1">
      <x:c r="E96" s="56"/>
      <x:c r="F96" s="59" t="str">
        <x:f>IF(B96="","",IFERROR(INDEX($R$11:$R$18,MATCH(D96,$Q$11:$Q$18,0)),0))</x:f>
      </x:c>
      <x:c r="H96" s="64"/>
      <x:c r="I96" s="67"/>
      <x:c r="J96" t="str">
        <x:f>IF(B96="","",IF(OR(D96="Closed Won",D96="Closed Lost"),"Closed",IF(OR(I96&gt;$S$7,AND(H96&lt;&gt;"",H96&lt;$S$4)),"STALE","Current")))</x:f>
      </x:c>
      <x:c r="O96" s="56" t="str">
        <x:f>IF(B96="","",E96*F96)</x:f>
      </x:c>
    </x:row>
    <x:row r="97" ht="13.5" customHeight="1">
      <x:c r="E97" s="56"/>
      <x:c r="F97" s="59" t="str">
        <x:f>IF(B97="","",IFERROR(INDEX($R$11:$R$18,MATCH(D97,$Q$11:$Q$18,0)),0))</x:f>
      </x:c>
      <x:c r="H97" s="64"/>
      <x:c r="I97" s="67"/>
      <x:c r="J97" t="str">
        <x:f>IF(B97="","",IF(OR(D97="Closed Won",D97="Closed Lost"),"Closed",IF(OR(I97&gt;$S$7,AND(H97&lt;&gt;"",H97&lt;$S$4)),"STALE","Current")))</x:f>
      </x:c>
      <x:c r="O97" s="56" t="str">
        <x:f>IF(B97="","",E97*F97)</x:f>
      </x:c>
    </x:row>
    <x:row r="98" ht="13.5" customHeight="1">
      <x:c r="E98" s="56"/>
      <x:c r="F98" s="59" t="str">
        <x:f>IF(B98="","",IFERROR(INDEX($R$11:$R$18,MATCH(D98,$Q$11:$Q$18,0)),0))</x:f>
      </x:c>
      <x:c r="H98" s="64"/>
      <x:c r="I98" s="67"/>
      <x:c r="J98" t="str">
        <x:f>IF(B98="","",IF(OR(D98="Closed Won",D98="Closed Lost"),"Closed",IF(OR(I98&gt;$S$7,AND(H98&lt;&gt;"",H98&lt;$S$4)),"STALE","Current")))</x:f>
      </x:c>
      <x:c r="O98" s="56" t="str">
        <x:f>IF(B98="","",E98*F98)</x:f>
      </x:c>
    </x:row>
    <x:row r="99" ht="13.5" customHeight="1">
      <x:c r="E99" s="56"/>
      <x:c r="F99" s="59" t="str">
        <x:f>IF(B99="","",IFERROR(INDEX($R$11:$R$18,MATCH(D99,$Q$11:$Q$18,0)),0))</x:f>
      </x:c>
      <x:c r="H99" s="64"/>
      <x:c r="I99" s="67"/>
      <x:c r="J99" t="str">
        <x:f>IF(B99="","",IF(OR(D99="Closed Won",D99="Closed Lost"),"Closed",IF(OR(I99&gt;$S$7,AND(H99&lt;&gt;"",H99&lt;$S$4)),"STALE","Current")))</x:f>
      </x:c>
      <x:c r="O99" s="56" t="str">
        <x:f>IF(B99="","",E99*F99)</x:f>
      </x:c>
    </x:row>
    <x:row r="100" ht="13.5" customHeight="1">
      <x:c r="E100" s="56"/>
      <x:c r="F100" s="59" t="str">
        <x:f>IF(B100="","",IFERROR(INDEX($R$11:$R$18,MATCH(D100,$Q$11:$Q$18,0)),0))</x:f>
      </x:c>
      <x:c r="H100" s="64"/>
      <x:c r="I100" s="67"/>
      <x:c r="J100" t="str">
        <x:f>IF(B100="","",IF(OR(D100="Closed Won",D100="Closed Lost"),"Closed",IF(OR(I100&gt;$S$7,AND(H100&lt;&gt;"",H100&lt;$S$4)),"STALE","Current")))</x:f>
      </x:c>
      <x:c r="O100" s="56" t="str">
        <x:f>IF(B100="","",E100*F100)</x:f>
      </x:c>
    </x:row>
    <x:row r="101" ht="13.5" customHeight="1">
      <x:c r="E101" s="56"/>
      <x:c r="F101" s="59" t="str">
        <x:f>IF(B101="","",IFERROR(INDEX($R$11:$R$18,MATCH(D101,$Q$11:$Q$18,0)),0))</x:f>
      </x:c>
      <x:c r="H101" s="64"/>
      <x:c r="I101" s="67"/>
      <x:c r="J101" t="str">
        <x:f>IF(B101="","",IF(OR(D101="Closed Won",D101="Closed Lost"),"Closed",IF(OR(I101&gt;$S$7,AND(H101&lt;&gt;"",H101&lt;$S$4)),"STALE","Current")))</x:f>
      </x:c>
      <x:c r="O101" s="56" t="str">
        <x:f>IF(B101="","",E101*F101)</x:f>
      </x:c>
    </x:row>
    <x:row r="102" ht="13.5" customHeight="1">
      <x:c r="E102" s="56"/>
      <x:c r="F102" s="59" t="str">
        <x:f>IF(B102="","",IFERROR(INDEX($R$11:$R$18,MATCH(D102,$Q$11:$Q$18,0)),0))</x:f>
      </x:c>
      <x:c r="H102" s="64"/>
      <x:c r="I102" s="67"/>
      <x:c r="J102" t="str">
        <x:f>IF(B102="","",IF(OR(D102="Closed Won",D102="Closed Lost"),"Closed",IF(OR(I102&gt;$S$7,AND(H102&lt;&gt;"",H102&lt;$S$4)),"STALE","Current")))</x:f>
      </x:c>
      <x:c r="O102" s="56" t="str">
        <x:f>IF(B102="","",E102*F102)</x:f>
      </x:c>
    </x:row>
    <x:row r="103" ht="13.5" customHeight="1">
      <x:c r="E103" s="56"/>
      <x:c r="F103" s="59" t="str">
        <x:f>IF(B103="","",IFERROR(INDEX($R$11:$R$18,MATCH(D103,$Q$11:$Q$18,0)),0))</x:f>
      </x:c>
      <x:c r="H103" s="64"/>
      <x:c r="I103" s="67"/>
      <x:c r="J103" t="str">
        <x:f>IF(B103="","",IF(OR(D103="Closed Won",D103="Closed Lost"),"Closed",IF(OR(I103&gt;$S$7,AND(H103&lt;&gt;"",H103&lt;$S$4)),"STALE","Current")))</x:f>
      </x:c>
      <x:c r="O103" s="56" t="str">
        <x:f>IF(B103="","",E103*F103)</x:f>
      </x:c>
    </x:row>
    <x:row r="104" ht="13.5" customHeight="1">
      <x:c r="E104" s="56"/>
      <x:c r="F104" s="59" t="str">
        <x:f>IF(B104="","",IFERROR(INDEX($R$11:$R$18,MATCH(D104,$Q$11:$Q$18,0)),0))</x:f>
      </x:c>
      <x:c r="H104" s="64"/>
      <x:c r="I104" s="67"/>
      <x:c r="J104" t="str">
        <x:f>IF(B104="","",IF(OR(D104="Closed Won",D104="Closed Lost"),"Closed",IF(OR(I104&gt;$S$7,AND(H104&lt;&gt;"",H104&lt;$S$4)),"STALE","Current")))</x:f>
      </x:c>
      <x:c r="O104" s="56" t="str">
        <x:f>IF(B104="","",E104*F104)</x:f>
      </x:c>
    </x:row>
    <x:row r="105" ht="13.5" customHeight="1">
      <x:c r="E105" s="56"/>
      <x:c r="F105" s="59" t="str">
        <x:f>IF(B105="","",IFERROR(INDEX($R$11:$R$18,MATCH(D105,$Q$11:$Q$18,0)),0))</x:f>
      </x:c>
      <x:c r="H105" s="64"/>
      <x:c r="I105" s="67"/>
      <x:c r="J105" t="str">
        <x:f>IF(B105="","",IF(OR(D105="Closed Won",D105="Closed Lost"),"Closed",IF(OR(I105&gt;$S$7,AND(H105&lt;&gt;"",H105&lt;$S$4)),"STALE","Current")))</x:f>
      </x:c>
      <x:c r="O105" s="56" t="str">
        <x:f>IF(B105="","",E105*F105)</x:f>
      </x:c>
    </x:row>
    <x:row r="106" ht="13.5" customHeight="1">
      <x:c r="E106" s="56"/>
      <x:c r="F106" s="59" t="str">
        <x:f>IF(B106="","",IFERROR(INDEX($R$11:$R$18,MATCH(D106,$Q$11:$Q$18,0)),0))</x:f>
      </x:c>
      <x:c r="H106" s="64"/>
      <x:c r="I106" s="67"/>
      <x:c r="J106" t="str">
        <x:f>IF(B106="","",IF(OR(D106="Closed Won",D106="Closed Lost"),"Closed",IF(OR(I106&gt;$S$7,AND(H106&lt;&gt;"",H106&lt;$S$4)),"STALE","Current")))</x:f>
      </x:c>
      <x:c r="O106" s="56" t="str">
        <x:f>IF(B106="","",E106*F106)</x:f>
      </x:c>
    </x:row>
    <x:row r="107" ht="13.5" customHeight="1">
      <x:c r="E107" s="56"/>
      <x:c r="F107" s="59" t="str">
        <x:f>IF(B107="","",IFERROR(INDEX($R$11:$R$18,MATCH(D107,$Q$11:$Q$18,0)),0))</x:f>
      </x:c>
      <x:c r="H107" s="64"/>
      <x:c r="I107" s="67"/>
      <x:c r="J107" t="str">
        <x:f>IF(B107="","",IF(OR(D107="Closed Won",D107="Closed Lost"),"Closed",IF(OR(I107&gt;$S$7,AND(H107&lt;&gt;"",H107&lt;$S$4)),"STALE","Current")))</x:f>
      </x:c>
      <x:c r="O107" s="56" t="str">
        <x:f>IF(B107="","",E107*F107)</x:f>
      </x:c>
    </x:row>
    <x:row r="108" ht="13.5" customHeight="1">
      <x:c r="E108" s="56"/>
      <x:c r="F108" s="59" t="str">
        <x:f>IF(B108="","",IFERROR(INDEX($R$11:$R$18,MATCH(D108,$Q$11:$Q$18,0)),0))</x:f>
      </x:c>
      <x:c r="H108" s="64"/>
      <x:c r="I108" s="67"/>
      <x:c r="J108" t="str">
        <x:f>IF(B108="","",IF(OR(D108="Closed Won",D108="Closed Lost"),"Closed",IF(OR(I108&gt;$S$7,AND(H108&lt;&gt;"",H108&lt;$S$4)),"STALE","Current")))</x:f>
      </x:c>
      <x:c r="O108" s="56" t="str">
        <x:f>IF(B108="","",E108*F108)</x:f>
      </x:c>
    </x:row>
    <x:row r="109" ht="13.5" customHeight="1">
      <x:c r="E109" s="56"/>
      <x:c r="F109" s="59" t="str">
        <x:f>IF(B109="","",IFERROR(INDEX($R$11:$R$18,MATCH(D109,$Q$11:$Q$18,0)),0))</x:f>
      </x:c>
      <x:c r="H109" s="64"/>
      <x:c r="I109" s="67"/>
      <x:c r="J109" t="str">
        <x:f>IF(B109="","",IF(OR(D109="Closed Won",D109="Closed Lost"),"Closed",IF(OR(I109&gt;$S$7,AND(H109&lt;&gt;"",H109&lt;$S$4)),"STALE","Current")))</x:f>
      </x:c>
      <x:c r="O109" s="56" t="str">
        <x:f>IF(B109="","",E109*F109)</x:f>
      </x:c>
    </x:row>
    <x:row r="110" ht="13.5" customHeight="1">
      <x:c r="E110" s="56"/>
      <x:c r="F110" s="59" t="str">
        <x:f>IF(B110="","",IFERROR(INDEX($R$11:$R$18,MATCH(D110,$Q$11:$Q$18,0)),0))</x:f>
      </x:c>
      <x:c r="H110" s="64"/>
      <x:c r="I110" s="67"/>
      <x:c r="J110" t="str">
        <x:f>IF(B110="","",IF(OR(D110="Closed Won",D110="Closed Lost"),"Closed",IF(OR(I110&gt;$S$7,AND(H110&lt;&gt;"",H110&lt;$S$4)),"STALE","Current")))</x:f>
      </x:c>
      <x:c r="O110" s="56" t="str">
        <x:f>IF(B110="","",E110*F110)</x:f>
      </x:c>
    </x:row>
    <x:row r="111" ht="13.5" customHeight="1">
      <x:c r="E111" s="56"/>
      <x:c r="F111" s="59" t="str">
        <x:f>IF(B111="","",IFERROR(INDEX($R$11:$R$18,MATCH(D111,$Q$11:$Q$18,0)),0))</x:f>
      </x:c>
      <x:c r="H111" s="64"/>
      <x:c r="I111" s="67"/>
      <x:c r="J111" t="str">
        <x:f>IF(B111="","",IF(OR(D111="Closed Won",D111="Closed Lost"),"Closed",IF(OR(I111&gt;$S$7,AND(H111&lt;&gt;"",H111&lt;$S$4)),"STALE","Current")))</x:f>
      </x:c>
      <x:c r="O111" s="56" t="str">
        <x:f>IF(B111="","",E111*F111)</x:f>
      </x:c>
    </x:row>
    <x:row r="112" ht="13.5" customHeight="1">
      <x:c r="E112" s="56"/>
      <x:c r="F112" s="59" t="str">
        <x:f>IF(B112="","",IFERROR(INDEX($R$11:$R$18,MATCH(D112,$Q$11:$Q$18,0)),0))</x:f>
      </x:c>
      <x:c r="H112" s="64"/>
      <x:c r="I112" s="67"/>
      <x:c r="J112" t="str">
        <x:f>IF(B112="","",IF(OR(D112="Closed Won",D112="Closed Lost"),"Closed",IF(OR(I112&gt;$S$7,AND(H112&lt;&gt;"",H112&lt;$S$4)),"STALE","Current")))</x:f>
      </x:c>
      <x:c r="O112" s="56" t="str">
        <x:f>IF(B112="","",E112*F112)</x:f>
      </x:c>
    </x:row>
    <x:row r="113" ht="13.5" customHeight="1">
      <x:c r="E113" s="56"/>
      <x:c r="F113" s="59" t="str">
        <x:f>IF(B113="","",IFERROR(INDEX($R$11:$R$18,MATCH(D113,$Q$11:$Q$18,0)),0))</x:f>
      </x:c>
      <x:c r="H113" s="64"/>
      <x:c r="I113" s="67"/>
      <x:c r="J113" t="str">
        <x:f>IF(B113="","",IF(OR(D113="Closed Won",D113="Closed Lost"),"Closed",IF(OR(I113&gt;$S$7,AND(H113&lt;&gt;"",H113&lt;$S$4)),"STALE","Current")))</x:f>
      </x:c>
      <x:c r="O113" s="56" t="str">
        <x:f>IF(B113="","",E113*F113)</x:f>
      </x:c>
    </x:row>
    <x:row r="114" ht="13.5" customHeight="1">
      <x:c r="E114" s="56"/>
      <x:c r="F114" s="59" t="str">
        <x:f>IF(B114="","",IFERROR(INDEX($R$11:$R$18,MATCH(D114,$Q$11:$Q$18,0)),0))</x:f>
      </x:c>
      <x:c r="H114" s="64"/>
      <x:c r="I114" s="67"/>
      <x:c r="J114" t="str">
        <x:f>IF(B114="","",IF(OR(D114="Closed Won",D114="Closed Lost"),"Closed",IF(OR(I114&gt;$S$7,AND(H114&lt;&gt;"",H114&lt;$S$4)),"STALE","Current")))</x:f>
      </x:c>
      <x:c r="O114" s="56" t="str">
        <x:f>IF(B114="","",E114*F114)</x:f>
      </x:c>
    </x:row>
    <x:row r="115" ht="13.5" customHeight="1">
      <x:c r="E115" s="56"/>
      <x:c r="F115" s="59" t="str">
        <x:f>IF(B115="","",IFERROR(INDEX($R$11:$R$18,MATCH(D115,$Q$11:$Q$18,0)),0))</x:f>
      </x:c>
      <x:c r="H115" s="64"/>
      <x:c r="I115" s="67"/>
      <x:c r="J115" t="str">
        <x:f>IF(B115="","",IF(OR(D115="Closed Won",D115="Closed Lost"),"Closed",IF(OR(I115&gt;$S$7,AND(H115&lt;&gt;"",H115&lt;$S$4)),"STALE","Current")))</x:f>
      </x:c>
      <x:c r="O115" s="56" t="str">
        <x:f>IF(B115="","",E115*F115)</x:f>
      </x:c>
    </x:row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Q4:R4"/>
    <x:mergeCell ref="Q5:R5"/>
    <x:mergeCell ref="Q6:R6"/>
    <x:mergeCell ref="Q7:R7"/>
    <x:mergeCell ref="Q20:S20"/>
    <x:mergeCell ref="Q21:R21"/>
    <x:mergeCell ref="Q22:R22"/>
    <x:mergeCell ref="Q23:R23"/>
    <x:mergeCell ref="B2:O2"/>
    <x:mergeCell ref="Q2:S3"/>
    <x:mergeCell ref="B3:O3"/>
    <x:mergeCell ref="B5:D5"/>
    <x:mergeCell ref="E5:G5"/>
    <x:mergeCell ref="H5:J5"/>
    <x:mergeCell ref="K5:M5"/>
    <x:mergeCell ref="B9:D9"/>
    <x:mergeCell ref="B10:D11"/>
    <x:mergeCell ref="E10:G11"/>
    <x:mergeCell ref="H10:J11"/>
    <x:mergeCell ref="K10:M11"/>
    <x:mergeCell ref="B13:O13"/>
    <x:mergeCell ref="B14:O14"/>
    <x:mergeCell ref="B6:D7"/>
    <x:mergeCell ref="E6:G7"/>
    <x:mergeCell ref="H6:J7"/>
    <x:mergeCell ref="K6:M7"/>
    <x:mergeCell ref="E9:G9"/>
    <x:mergeCell ref="H9:J9"/>
    <x:mergeCell ref="K9:M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52" hidden="0" customWidth="1"/>
    <x:col min="4" max="4" width="52" hidden="0" customWidth="1"/>
    <x:col min="5" max="5" width="66" hidden="0" customWidth="1"/>
  </x:cols>
  <x:sheetData>
    <x:row r="1" ht="30" customHeight="1">
      <x:c r="A1" s="78" t="str">
        <x:v>Application Pipeline Sources</x:v>
      </x:c>
      <x:c r="B1" s="78"/>
      <x:c r="C1" s="78"/>
      <x:c r="D1" s="78"/>
      <x:c r="E1" s="78"/>
    </x:row>
    <x:row r="3">
      <x:c r="A3" s="83" t="str">
        <x:v>Company</x:v>
      </x:c>
      <x:c r="B3" s="83" t="str">
        <x:v>Role</x:v>
      </x:c>
      <x:c r="C3" s="83" t="str">
        <x:v>Role URL</x:v>
      </x:c>
      <x:c r="D3" s="83" t="str">
        <x:v>Application URL</x:v>
      </x:c>
      <x:c r="E3" s="83" t="str">
        <x:v>Evidence / decision source</x:v>
      </x:c>
    </x:row>
    <x:row r="4" ht="58" customHeight="1">
      <x:c r="A4" s="86" t="str">
        <x:v>Cognition</x:v>
      </x:c>
      <x:c r="B4" s="86" t="str">
        <x:v>Applied AI Engineer - APAC</x:v>
      </x:c>
      <x:c r="C4" s="86" t="str">
        <x:v>https://jobs.ashbyhq.com/cognition/12250aa8-c371-440c-8189-04872fd43eeb</x:v>
      </x:c>
      <x:c r="D4" s="86" t="str">
        <x:v>https://jobs.ashbyhq.com/cognition/12250aa8-c371-440c-8189-04872fd43eeb/application</x:v>
      </x:c>
      <x:c r="E4" s="86" t="str">
        <x:v>Live Ashby role. Agent deployment, customer adoption, TypeScript or Python, and commercial experience map to approved proof. Review Singapore work authorization or sponsorship.</x:v>
      </x:c>
    </x:row>
    <x:row r="5" ht="58" customHeight="1">
      <x:c r="A5" s="86" t="str">
        <x:v>Atoms / Picnic</x:v>
      </x:c>
      <x:c r="B5" s="86" t="str">
        <x:v>Frontend Engineer</x:v>
      </x:c>
      <x:c r="C5" s="86" t="str">
        <x:v>https://job-boards.greenhouse.io/cssmerge/jobs/8583309002</x:v>
      </x:c>
      <x:c r="D5" s="86" t="str">
        <x:v>https://job-boards.greenhouse.io/cssmerge/jobs/8583309002</x:v>
      </x:c>
      <x:c r="E5" s="86" t="str">
        <x:v>Live Greenhouse role. Two-plus years, TypeScript, React, GraphQL and REST match approved resume. Review New York five-day onsite willingness and real-time or mobile gaps.</x:v>
      </x:c>
    </x:row>
    <x:row r="6" ht="58" customHeight="1">
      <x:c r="A6" s="86" t="str">
        <x:v>Cognition</x:v>
      </x:c>
      <x:c r="B6" s="86" t="str">
        <x:v>Product Engineer</x:v>
      </x:c>
      <x:c r="C6" s="86" t="str">
        <x:v>https://jobs.ashbyhq.com/cognition/439404bb-3185-4d22-b6df-4a5e39a510d6</x:v>
      </x:c>
      <x:c r="D6" s="86" t="str">
        <x:v>https://jobs.ashbyhq.com/cognition/439404bb-3185-4d22-b6df-4a5e39a510d6/application</x:v>
      </x:c>
      <x:c r="E6" s="86" t="str">
        <x:v>Live Ashby role. TypeScript, React, Python, agent UX, and agent harness work map to approved proof. Apply as a stretch without implying pedigree or prior frontier-AI employment.</x:v>
      </x:c>
    </x:row>
  </x:sheetData>
  <x:mergeCells>
    <x:mergeCell ref="A1:E1"/>
  </x:mergeCells>
  <x:pageMargins left="0.7" right="0.7" top="0.75" bottom="0.75" header="0.3" footer="0.3"/>
</x:worksheet>
</file>